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Raw_GHG_Emissions" sheetId="2" state="visible" r:id="rId4"/>
    <sheet name="Yearly_Scope_Summary" sheetId="3" state="visible" r:id="rId5"/>
    <sheet name="Carbon_Footprint_by_Product" sheetId="4" state="visible" r:id="rId6"/>
    <sheet name="Normalizing_Factor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<sst xmlns="http://schemas.openxmlformats.org/spreadsheetml/2006/main" count="588" uniqueCount="82">
  <si>
    <t xml:space="preserve">Carbon Footprint Dataset — Apple Inc.</t>
  </si>
  <si>
    <t xml:space="preserve">Real, publicly disclosed Scope 1 / 2 / 3 greenhouse gas emissions, FY2015–FY2022</t>
  </si>
  <si>
    <t xml:space="preserve">Source</t>
  </si>
  <si>
    <t xml:space="preserve">Apple Inc. Environmental Progress Reports (2016–2023 editions)</t>
  </si>
  <si>
    <t xml:space="preserve">Original publisher</t>
  </si>
  <si>
    <t xml:space="preserve">Apple.com — apple.com/environment</t>
  </si>
  <si>
    <t xml:space="preserve">Compiled by</t>
  </si>
  <si>
    <t xml:space="preserve">Maven Analytics Data Playground (mavenanalytics.io/data-playground)</t>
  </si>
  <si>
    <t xml:space="preserve">License</t>
  </si>
  <si>
    <t xml:space="preserve">Public Domain</t>
  </si>
  <si>
    <t xml:space="preserve">Units</t>
  </si>
  <si>
    <t xml:space="preserve">Metric tons CO2 equivalent (CO2e), unless noted otherwise</t>
  </si>
  <si>
    <t xml:space="preserve">Fiscal year note</t>
  </si>
  <si>
    <t xml:space="preserve">Apple's fiscal year starts the last Sunday of September and runs 364 days</t>
  </si>
  <si>
    <t xml:space="preserve">Sheet: Raw_GHG_Emissions</t>
  </si>
  <si>
    <t xml:space="preserve">136 line items — every disclosed emissions source by year, category, type, and scope (1/2/3)</t>
  </si>
  <si>
    <t xml:space="preserve">Sheet: Yearly_Scope_Summary</t>
  </si>
  <si>
    <t xml:space="preserve">Pivoted totals by fiscal year and scope, computed with live SUMIFS formulas from the raw sheet</t>
  </si>
  <si>
    <t xml:space="preserve">Sheet: Carbon_Footprint_by_Product</t>
  </si>
  <si>
    <t xml:space="preserve">Life-cycle carbon footprint (kg CO2e) of each baseline iPhone model, 2015–2023</t>
  </si>
  <si>
    <t xml:space="preserve">Sheet: Normalizing_Factors</t>
  </si>
  <si>
    <t xml:space="preserve">Apple's revenue, market capitalization, and headcount by fiscal year — for intensity ratios</t>
  </si>
  <si>
    <t xml:space="preserve">Known data gaps</t>
  </si>
  <si>
    <t xml:space="preserve">Several Scope 3 corporate sub-categories (e.g. upstream fuel, work-from-home, third-party cloud) were not separately disclosed before FY2018–2019 — these cells are blank in the source, not estimated.</t>
  </si>
  <si>
    <t xml:space="preserve">Use in your project</t>
  </si>
  <si>
    <t xml:space="preserve">Good as a real, verified anchor dataset for a single company's Scope 1/2/3 trend. For a multi-company supply-chain training set, combine with Climate TRACE (climatetrace.org/data) or additional company CDP disclosures.</t>
  </si>
  <si>
    <t xml:space="preserve">Fiscal Year</t>
  </si>
  <si>
    <t xml:space="preserve">Category</t>
  </si>
  <si>
    <t xml:space="preserve">Type</t>
  </si>
  <si>
    <t xml:space="preserve">Scope</t>
  </si>
  <si>
    <t xml:space="preserve">Description</t>
  </si>
  <si>
    <t xml:space="preserve">Emissions (metric tons CO2e)</t>
  </si>
  <si>
    <t xml:space="preserve">Corporate emissions</t>
  </si>
  <si>
    <t xml:space="preserve">Gross emissions</t>
  </si>
  <si>
    <t xml:space="preserve">Scope 1</t>
  </si>
  <si>
    <t xml:space="preserve">Natural gas, diesel, propane</t>
  </si>
  <si>
    <t xml:space="preserve">Fleet vehicles</t>
  </si>
  <si>
    <t xml:space="preserve">Other (R&amp;D processes &amp; refrigerant leaks)</t>
  </si>
  <si>
    <t xml:space="preserve">Scope 2 (market-based)</t>
  </si>
  <si>
    <t xml:space="preserve">Electricity</t>
  </si>
  <si>
    <t xml:space="preserve">Steam, heating, and cooling</t>
  </si>
  <si>
    <t xml:space="preserve">Scope 3</t>
  </si>
  <si>
    <t xml:space="preserve">Business travel</t>
  </si>
  <si>
    <t xml:space="preserve">Employee commute</t>
  </si>
  <si>
    <t xml:space="preserve">Upstream fuel</t>
  </si>
  <si>
    <t xml:space="preserve">Work from home (market-based)</t>
  </si>
  <si>
    <t xml:space="preserve">Transmission and distribution loss (market-based)</t>
  </si>
  <si>
    <t xml:space="preserve">Third-party cloud (market-based)</t>
  </si>
  <si>
    <t xml:space="preserve">Carbon removals</t>
  </si>
  <si>
    <t xml:space="preserve">Corporate carbon offsets</t>
  </si>
  <si>
    <t xml:space="preserve">Product life cycle emissions</t>
  </si>
  <si>
    <t xml:space="preserve">Manufacturing (purchased goods and services)</t>
  </si>
  <si>
    <t xml:space="preserve">Product transportation (upstream and downstream)</t>
  </si>
  <si>
    <t xml:space="preserve">Product use (use of sold products)</t>
  </si>
  <si>
    <t xml:space="preserve">End-of-life processing</t>
  </si>
  <si>
    <t xml:space="preserve">Product carbon offsets</t>
  </si>
  <si>
    <t xml:space="preserve">Scope 1 (Gross)</t>
  </si>
  <si>
    <t xml:space="preserve">Scope 2 Market-Based (Gross)</t>
  </si>
  <si>
    <t xml:space="preserve">Scope 3 (Gross)</t>
  </si>
  <si>
    <t xml:space="preserve">Total Gross Emissions</t>
  </si>
  <si>
    <t xml:space="preserve">Carbon Removals (Offsets)</t>
  </si>
  <si>
    <t xml:space="preserve">Net Emissions</t>
  </si>
  <si>
    <t xml:space="preserve">Totals computed live via SUMIFS from Raw_GHG_Emissions. Blank source cells (undisclosed sub-categories, esp. pre-2019) are treated as 0 by SUMIFS.</t>
  </si>
  <si>
    <t xml:space="preserve">Release Year</t>
  </si>
  <si>
    <t xml:space="preserve">Product</t>
  </si>
  <si>
    <t xml:space="preserve">Baseline Storage (GB)</t>
  </si>
  <si>
    <t xml:space="preserve">Carbon Footprint (kg CO2e)</t>
  </si>
  <si>
    <t xml:space="preserve">iPhone 15</t>
  </si>
  <si>
    <t xml:space="preserve">iPhone 14</t>
  </si>
  <si>
    <t xml:space="preserve">iPhone 13</t>
  </si>
  <si>
    <t xml:space="preserve">iPhone 12</t>
  </si>
  <si>
    <t xml:space="preserve">iPhone 11</t>
  </si>
  <si>
    <t xml:space="preserve">iPhone Xs</t>
  </si>
  <si>
    <t xml:space="preserve">iPhone X</t>
  </si>
  <si>
    <t xml:space="preserve">iPhone 8</t>
  </si>
  <si>
    <t xml:space="preserve">iPhone 7</t>
  </si>
  <si>
    <t xml:space="preserve">iPhone 6s</t>
  </si>
  <si>
    <t xml:space="preserve">Revenue ($M)</t>
  </si>
  <si>
    <t xml:space="preserve">Market Capitalization ($B)</t>
  </si>
  <si>
    <t xml:space="preserve">Employees</t>
  </si>
  <si>
    <t xml:space="preserve">Emissions Intensity (Net tCO2e per $M Revenue)</t>
  </si>
  <si>
    <t xml:space="preserve">Intensity ratio = Net Emissions (Yearly_Scope_Summary, corporate scope only) / Revenue. Not comparable to product life-cycle totals.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</si>
</sst>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3D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.5"/>
      <name val="Arial"/>
      <family val="0"/>
      <charset val="1"/>
    </font>
    <font>
      <b val="true"/>
      <sz val="10.5"/>
      <name val="Arial"/>
      <family val="0"/>
      <charset val="1"/>
    </font>
    <font>
      <b val="true"/>
      <sz val="10.5"/>
      <color rgb="FFFFFFFF"/>
      <name val="Arial"/>
      <family val="0"/>
      <charset val="1"/>
    </font>
    <font>
      <i val="true"/>
      <sz val="9"/>
      <color rgb="FF777777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3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ProductFootprint" displayName="ProductFootprint" ref="A1:D11" headerRowCount="1" totalsRowCount="0" totalsRowShown="0">
  <autoFilter ref="A1:D11"/>
  <tableColumns count="4">
    <tableColumn id="1" name="Release Year"/>
    <tableColumn id="2" name="Product"/>
    <tableColumn id="3" name="Baseline Storage (GB)"/>
    <tableColumn id="4" name="Carbon Footprint (kg CO2e)"/>
  </tableColumns>
</table>
</file>

<file path=xl/tables/table2.xml><?xml version="1.0" encoding="utf-8"?>
<table xmlns="http://schemas.openxmlformats.org/spreadsheetml/2006/main" id="2" name="RawGHG" displayName="RawGHG" ref="A1:F137" headerRowCount="1" totalsRowCount="0" totalsRowShown="0">
  <autoFilter ref="A1:F137"/>
  <tableColumns count="6">
    <tableColumn id="1" name="Fiscal Year"/>
    <tableColumn id="2" name="Category"/>
    <tableColumn id="3" name="Type"/>
    <tableColumn id="4" name="Scope"/>
    <tableColumn id="5" name="Description"/>
    <tableColumn id="6" name="Emissions (metric tons CO2e)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0</v>
      </c>
      <c r="B1" s="1"/>
    </row>
    <row r="2" customFormat="false" ht="15" hidden="false" customHeight="false" outlineLevel="0" collapsed="false">
      <c r="A2" s="2" t="s">
        <v>1</v>
      </c>
      <c r="B2" s="2"/>
    </row>
    <row r="3" customFormat="false" ht="6" hidden="false" customHeight="true" outlineLevel="0" collapsed="false">
      <c r="A3" s="3"/>
      <c r="B3" s="4"/>
    </row>
    <row r="4" customFormat="false" ht="30" hidden="false" customHeight="true" outlineLevel="0" collapsed="false">
      <c r="A4" s="5" t="s">
        <v>2</v>
      </c>
      <c r="B4" s="4" t="s">
        <v>3</v>
      </c>
    </row>
    <row r="5" customFormat="false" ht="30" hidden="false" customHeight="true" outlineLevel="0" collapsed="false">
      <c r="A5" s="5" t="s">
        <v>4</v>
      </c>
      <c r="B5" s="4" t="s">
        <v>5</v>
      </c>
    </row>
    <row r="6" customFormat="false" ht="30" hidden="false" customHeight="true" outlineLevel="0" collapsed="false">
      <c r="A6" s="5" t="s">
        <v>6</v>
      </c>
      <c r="B6" s="4" t="s">
        <v>7</v>
      </c>
    </row>
    <row r="7" customFormat="false" ht="30" hidden="false" customHeight="true" outlineLevel="0" collapsed="false">
      <c r="A7" s="5" t="s">
        <v>8</v>
      </c>
      <c r="B7" s="4" t="s">
        <v>9</v>
      </c>
    </row>
    <row r="8" customFormat="false" ht="30" hidden="false" customHeight="true" outlineLevel="0" collapsed="false">
      <c r="A8" s="5" t="s">
        <v>10</v>
      </c>
      <c r="B8" s="4" t="s">
        <v>11</v>
      </c>
    </row>
    <row r="9" customFormat="false" ht="30" hidden="false" customHeight="true" outlineLevel="0" collapsed="false">
      <c r="A9" s="5" t="s">
        <v>12</v>
      </c>
      <c r="B9" s="4" t="s">
        <v>13</v>
      </c>
    </row>
    <row r="10" customFormat="false" ht="6" hidden="false" customHeight="true" outlineLevel="0" collapsed="false">
      <c r="A10" s="3"/>
      <c r="B10" s="4"/>
    </row>
    <row r="11" customFormat="false" ht="30" hidden="false" customHeight="true" outlineLevel="0" collapsed="false">
      <c r="A11" s="5" t="s">
        <v>14</v>
      </c>
      <c r="B11" s="4" t="s">
        <v>15</v>
      </c>
    </row>
    <row r="12" customFormat="false" ht="30" hidden="false" customHeight="true" outlineLevel="0" collapsed="false">
      <c r="A12" s="5" t="s">
        <v>16</v>
      </c>
      <c r="B12" s="4" t="s">
        <v>17</v>
      </c>
    </row>
    <row r="13" customFormat="false" ht="30" hidden="false" customHeight="true" outlineLevel="0" collapsed="false">
      <c r="A13" s="5" t="s">
        <v>18</v>
      </c>
      <c r="B13" s="4" t="s">
        <v>19</v>
      </c>
    </row>
    <row r="14" customFormat="false" ht="30" hidden="false" customHeight="true" outlineLevel="0" collapsed="false">
      <c r="A14" s="5" t="s">
        <v>20</v>
      </c>
      <c r="B14" s="4" t="s">
        <v>21</v>
      </c>
    </row>
    <row r="15" customFormat="false" ht="6" hidden="false" customHeight="true" outlineLevel="0" collapsed="false">
      <c r="A15" s="3"/>
      <c r="B15" s="4"/>
    </row>
    <row r="16" customFormat="false" ht="30" hidden="false" customHeight="true" outlineLevel="0" collapsed="false">
      <c r="A16" s="5" t="s">
        <v>22</v>
      </c>
      <c r="B16" s="4" t="s">
        <v>23</v>
      </c>
    </row>
    <row r="17" customFormat="false" ht="30" hidden="false" customHeight="true" outlineLevel="0" collapsed="false">
      <c r="A17" s="5" t="s">
        <v>24</v>
      </c>
      <c r="B17" s="4" t="s">
        <v>25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20"/>
    <col collapsed="false" customWidth="true" hidden="false" outlineLevel="0" max="5" min="5" style="0" width="46"/>
    <col collapsed="false" customWidth="true" hidden="false" outlineLevel="0" max="6" min="6" style="0" width="24"/>
  </cols>
  <sheetData>
    <row r="1" customFormat="false" ht="25.35" hidden="false" customHeight="false" outlineLevel="0" collapsed="false">
      <c r="A1" s="6" t="s">
        <v>26</v>
      </c>
      <c r="B1" s="6" t="s">
        <v>27</v>
      </c>
      <c r="C1" s="6" t="s">
        <v>28</v>
      </c>
      <c r="D1" s="6" t="s">
        <v>29</v>
      </c>
      <c r="E1" s="6" t="s">
        <v>30</v>
      </c>
      <c r="F1" s="6" t="s">
        <v>31</v>
      </c>
    </row>
    <row r="2" customFormat="false" ht="15" hidden="false" customHeight="false" outlineLevel="0" collapsed="false">
      <c r="A2" s="3" t="n">
        <v>2022</v>
      </c>
      <c r="B2" s="3" t="s">
        <v>32</v>
      </c>
      <c r="C2" s="3" t="s">
        <v>33</v>
      </c>
      <c r="D2" s="3" t="s">
        <v>34</v>
      </c>
      <c r="E2" s="3" t="s">
        <v>35</v>
      </c>
      <c r="F2" s="7" t="n">
        <v>39700</v>
      </c>
    </row>
    <row r="3" customFormat="false" ht="15" hidden="false" customHeight="false" outlineLevel="0" collapsed="false">
      <c r="A3" s="3" t="n">
        <v>2022</v>
      </c>
      <c r="B3" s="3" t="s">
        <v>32</v>
      </c>
      <c r="C3" s="3" t="s">
        <v>33</v>
      </c>
      <c r="D3" s="3" t="s">
        <v>34</v>
      </c>
      <c r="E3" s="3" t="s">
        <v>36</v>
      </c>
      <c r="F3" s="7" t="n">
        <v>12600</v>
      </c>
    </row>
    <row r="4" customFormat="false" ht="15" hidden="false" customHeight="false" outlineLevel="0" collapsed="false">
      <c r="A4" s="3" t="n">
        <v>2022</v>
      </c>
      <c r="B4" s="3" t="s">
        <v>32</v>
      </c>
      <c r="C4" s="3" t="s">
        <v>33</v>
      </c>
      <c r="D4" s="3" t="s">
        <v>34</v>
      </c>
      <c r="E4" s="3" t="s">
        <v>37</v>
      </c>
      <c r="F4" s="7" t="n">
        <v>2900</v>
      </c>
    </row>
    <row r="5" customFormat="false" ht="15" hidden="false" customHeight="false" outlineLevel="0" collapsed="false">
      <c r="A5" s="3" t="n">
        <v>2022</v>
      </c>
      <c r="B5" s="3" t="s">
        <v>32</v>
      </c>
      <c r="C5" s="3" t="s">
        <v>33</v>
      </c>
      <c r="D5" s="3" t="s">
        <v>38</v>
      </c>
      <c r="E5" s="3" t="s">
        <v>39</v>
      </c>
      <c r="F5" s="7" t="n">
        <v>0</v>
      </c>
    </row>
    <row r="6" customFormat="false" ht="15" hidden="false" customHeight="false" outlineLevel="0" collapsed="false">
      <c r="A6" s="3" t="n">
        <v>2022</v>
      </c>
      <c r="B6" s="3" t="s">
        <v>32</v>
      </c>
      <c r="C6" s="3" t="s">
        <v>33</v>
      </c>
      <c r="D6" s="3" t="s">
        <v>38</v>
      </c>
      <c r="E6" s="3" t="s">
        <v>40</v>
      </c>
      <c r="F6" s="7" t="n">
        <v>3000</v>
      </c>
    </row>
    <row r="7" customFormat="false" ht="15" hidden="false" customHeight="false" outlineLevel="0" collapsed="false">
      <c r="A7" s="3" t="n">
        <v>2022</v>
      </c>
      <c r="B7" s="3" t="s">
        <v>32</v>
      </c>
      <c r="C7" s="3" t="s">
        <v>33</v>
      </c>
      <c r="D7" s="3" t="s">
        <v>41</v>
      </c>
      <c r="E7" s="3" t="s">
        <v>42</v>
      </c>
      <c r="F7" s="7" t="n">
        <v>113500</v>
      </c>
    </row>
    <row r="8" customFormat="false" ht="15" hidden="false" customHeight="false" outlineLevel="0" collapsed="false">
      <c r="A8" s="3" t="n">
        <v>2022</v>
      </c>
      <c r="B8" s="3" t="s">
        <v>32</v>
      </c>
      <c r="C8" s="3" t="s">
        <v>33</v>
      </c>
      <c r="D8" s="3" t="s">
        <v>41</v>
      </c>
      <c r="E8" s="3" t="s">
        <v>43</v>
      </c>
      <c r="F8" s="7" t="n">
        <v>134200</v>
      </c>
    </row>
    <row r="9" customFormat="false" ht="15" hidden="false" customHeight="false" outlineLevel="0" collapsed="false">
      <c r="A9" s="3" t="n">
        <v>2022</v>
      </c>
      <c r="B9" s="3" t="s">
        <v>32</v>
      </c>
      <c r="C9" s="3" t="s">
        <v>33</v>
      </c>
      <c r="D9" s="3" t="s">
        <v>41</v>
      </c>
      <c r="E9" s="3" t="s">
        <v>44</v>
      </c>
      <c r="F9" s="7" t="n">
        <v>10600</v>
      </c>
    </row>
    <row r="10" customFormat="false" ht="15" hidden="false" customHeight="false" outlineLevel="0" collapsed="false">
      <c r="A10" s="3" t="n">
        <v>2022</v>
      </c>
      <c r="B10" s="3" t="s">
        <v>32</v>
      </c>
      <c r="C10" s="3" t="s">
        <v>33</v>
      </c>
      <c r="D10" s="3" t="s">
        <v>41</v>
      </c>
      <c r="E10" s="3" t="s">
        <v>45</v>
      </c>
      <c r="F10" s="7" t="n">
        <v>7500</v>
      </c>
    </row>
    <row r="11" customFormat="false" ht="15" hidden="false" customHeight="false" outlineLevel="0" collapsed="false">
      <c r="A11" s="3" t="n">
        <v>2022</v>
      </c>
      <c r="B11" s="3" t="s">
        <v>32</v>
      </c>
      <c r="C11" s="3" t="s">
        <v>33</v>
      </c>
      <c r="D11" s="3" t="s">
        <v>41</v>
      </c>
      <c r="E11" s="3" t="s">
        <v>46</v>
      </c>
      <c r="F11" s="7" t="n">
        <v>0</v>
      </c>
    </row>
    <row r="12" customFormat="false" ht="15" hidden="false" customHeight="false" outlineLevel="0" collapsed="false">
      <c r="A12" s="3" t="n">
        <v>2022</v>
      </c>
      <c r="B12" s="3" t="s">
        <v>32</v>
      </c>
      <c r="C12" s="3" t="s">
        <v>33</v>
      </c>
      <c r="D12" s="3" t="s">
        <v>41</v>
      </c>
      <c r="E12" s="3" t="s">
        <v>47</v>
      </c>
      <c r="F12" s="7" t="n">
        <v>0</v>
      </c>
    </row>
    <row r="13" customFormat="false" ht="15" hidden="false" customHeight="false" outlineLevel="0" collapsed="false">
      <c r="A13" s="3" t="n">
        <v>2022</v>
      </c>
      <c r="B13" s="3" t="s">
        <v>32</v>
      </c>
      <c r="C13" s="3" t="s">
        <v>48</v>
      </c>
      <c r="D13" s="3"/>
      <c r="E13" s="3" t="s">
        <v>49</v>
      </c>
      <c r="F13" s="7" t="n">
        <v>-324100</v>
      </c>
    </row>
    <row r="14" customFormat="false" ht="15" hidden="false" customHeight="false" outlineLevel="0" collapsed="false">
      <c r="A14" s="3" t="n">
        <v>2022</v>
      </c>
      <c r="B14" s="3" t="s">
        <v>50</v>
      </c>
      <c r="C14" s="3" t="s">
        <v>33</v>
      </c>
      <c r="D14" s="3" t="s">
        <v>41</v>
      </c>
      <c r="E14" s="3" t="s">
        <v>51</v>
      </c>
      <c r="F14" s="7" t="n">
        <v>13400000</v>
      </c>
    </row>
    <row r="15" customFormat="false" ht="15" hidden="false" customHeight="false" outlineLevel="0" collapsed="false">
      <c r="A15" s="3" t="n">
        <v>2022</v>
      </c>
      <c r="B15" s="3" t="s">
        <v>50</v>
      </c>
      <c r="C15" s="3" t="s">
        <v>33</v>
      </c>
      <c r="D15" s="3" t="s">
        <v>41</v>
      </c>
      <c r="E15" s="3" t="s">
        <v>52</v>
      </c>
      <c r="F15" s="7" t="n">
        <v>1900000</v>
      </c>
    </row>
    <row r="16" customFormat="false" ht="15" hidden="false" customHeight="false" outlineLevel="0" collapsed="false">
      <c r="A16" s="3" t="n">
        <v>2022</v>
      </c>
      <c r="B16" s="3" t="s">
        <v>50</v>
      </c>
      <c r="C16" s="3" t="s">
        <v>33</v>
      </c>
      <c r="D16" s="3" t="s">
        <v>41</v>
      </c>
      <c r="E16" s="3" t="s">
        <v>53</v>
      </c>
      <c r="F16" s="7" t="n">
        <v>4900000</v>
      </c>
    </row>
    <row r="17" customFormat="false" ht="15" hidden="false" customHeight="false" outlineLevel="0" collapsed="false">
      <c r="A17" s="3" t="n">
        <v>2022</v>
      </c>
      <c r="B17" s="3" t="s">
        <v>50</v>
      </c>
      <c r="C17" s="3" t="s">
        <v>33</v>
      </c>
      <c r="D17" s="3" t="s">
        <v>41</v>
      </c>
      <c r="E17" s="3" t="s">
        <v>54</v>
      </c>
      <c r="F17" s="7" t="n">
        <v>80000</v>
      </c>
    </row>
    <row r="18" customFormat="false" ht="15" hidden="false" customHeight="false" outlineLevel="0" collapsed="false">
      <c r="A18" s="3" t="n">
        <v>2022</v>
      </c>
      <c r="B18" s="3" t="s">
        <v>50</v>
      </c>
      <c r="C18" s="3" t="s">
        <v>48</v>
      </c>
      <c r="D18" s="3"/>
      <c r="E18" s="3" t="s">
        <v>55</v>
      </c>
      <c r="F18" s="7" t="n">
        <v>0</v>
      </c>
    </row>
    <row r="19" customFormat="false" ht="15" hidden="false" customHeight="false" outlineLevel="0" collapsed="false">
      <c r="A19" s="3" t="n">
        <v>2021</v>
      </c>
      <c r="B19" s="3" t="s">
        <v>32</v>
      </c>
      <c r="C19" s="3" t="s">
        <v>33</v>
      </c>
      <c r="D19" s="3" t="s">
        <v>34</v>
      </c>
      <c r="E19" s="3" t="s">
        <v>35</v>
      </c>
      <c r="F19" s="7" t="n">
        <v>40070</v>
      </c>
    </row>
    <row r="20" customFormat="false" ht="15" hidden="false" customHeight="false" outlineLevel="0" collapsed="false">
      <c r="A20" s="3" t="n">
        <v>2021</v>
      </c>
      <c r="B20" s="3" t="s">
        <v>32</v>
      </c>
      <c r="C20" s="3" t="s">
        <v>33</v>
      </c>
      <c r="D20" s="3" t="s">
        <v>34</v>
      </c>
      <c r="E20" s="3" t="s">
        <v>36</v>
      </c>
      <c r="F20" s="7" t="n">
        <v>12090</v>
      </c>
    </row>
    <row r="21" customFormat="false" ht="15" hidden="false" customHeight="false" outlineLevel="0" collapsed="false">
      <c r="A21" s="3" t="n">
        <v>2021</v>
      </c>
      <c r="B21" s="3" t="s">
        <v>32</v>
      </c>
      <c r="C21" s="3" t="s">
        <v>33</v>
      </c>
      <c r="D21" s="3" t="s">
        <v>34</v>
      </c>
      <c r="E21" s="3" t="s">
        <v>37</v>
      </c>
      <c r="F21" s="7" t="n">
        <v>3040</v>
      </c>
    </row>
    <row r="22" customFormat="false" ht="15" hidden="false" customHeight="false" outlineLevel="0" collapsed="false">
      <c r="A22" s="3" t="n">
        <v>2021</v>
      </c>
      <c r="B22" s="3" t="s">
        <v>32</v>
      </c>
      <c r="C22" s="3" t="s">
        <v>33</v>
      </c>
      <c r="D22" s="3" t="s">
        <v>38</v>
      </c>
      <c r="E22" s="3" t="s">
        <v>39</v>
      </c>
      <c r="F22" s="7" t="n">
        <v>0</v>
      </c>
    </row>
    <row r="23" customFormat="false" ht="15" hidden="false" customHeight="false" outlineLevel="0" collapsed="false">
      <c r="A23" s="3" t="n">
        <v>2021</v>
      </c>
      <c r="B23" s="3" t="s">
        <v>32</v>
      </c>
      <c r="C23" s="3" t="s">
        <v>33</v>
      </c>
      <c r="D23" s="3" t="s">
        <v>38</v>
      </c>
      <c r="E23" s="3" t="s">
        <v>40</v>
      </c>
      <c r="F23" s="7" t="n">
        <v>2780</v>
      </c>
    </row>
    <row r="24" customFormat="false" ht="15" hidden="false" customHeight="false" outlineLevel="0" collapsed="false">
      <c r="A24" s="3" t="n">
        <v>2021</v>
      </c>
      <c r="B24" s="3" t="s">
        <v>32</v>
      </c>
      <c r="C24" s="3" t="s">
        <v>33</v>
      </c>
      <c r="D24" s="3" t="s">
        <v>41</v>
      </c>
      <c r="E24" s="3" t="s">
        <v>42</v>
      </c>
      <c r="F24" s="7" t="n">
        <v>22850</v>
      </c>
    </row>
    <row r="25" customFormat="false" ht="15" hidden="false" customHeight="false" outlineLevel="0" collapsed="false">
      <c r="A25" s="3" t="n">
        <v>2021</v>
      </c>
      <c r="B25" s="3" t="s">
        <v>32</v>
      </c>
      <c r="C25" s="3" t="s">
        <v>33</v>
      </c>
      <c r="D25" s="3" t="s">
        <v>41</v>
      </c>
      <c r="E25" s="3" t="s">
        <v>43</v>
      </c>
      <c r="F25" s="7" t="n">
        <v>85570</v>
      </c>
    </row>
    <row r="26" customFormat="false" ht="15" hidden="false" customHeight="false" outlineLevel="0" collapsed="false">
      <c r="A26" s="3" t="n">
        <v>2021</v>
      </c>
      <c r="B26" s="3" t="s">
        <v>32</v>
      </c>
      <c r="C26" s="3" t="s">
        <v>33</v>
      </c>
      <c r="D26" s="3" t="s">
        <v>41</v>
      </c>
      <c r="E26" s="3" t="s">
        <v>44</v>
      </c>
      <c r="F26" s="7" t="n">
        <v>0</v>
      </c>
    </row>
    <row r="27" customFormat="false" ht="15" hidden="false" customHeight="false" outlineLevel="0" collapsed="false">
      <c r="A27" s="3" t="n">
        <v>2021</v>
      </c>
      <c r="B27" s="3" t="s">
        <v>32</v>
      </c>
      <c r="C27" s="3" t="s">
        <v>33</v>
      </c>
      <c r="D27" s="3" t="s">
        <v>41</v>
      </c>
      <c r="E27" s="3" t="s">
        <v>45</v>
      </c>
      <c r="F27" s="7" t="n">
        <v>0</v>
      </c>
    </row>
    <row r="28" customFormat="false" ht="15" hidden="false" customHeight="false" outlineLevel="0" collapsed="false">
      <c r="A28" s="3" t="n">
        <v>2021</v>
      </c>
      <c r="B28" s="3" t="s">
        <v>32</v>
      </c>
      <c r="C28" s="3" t="s">
        <v>33</v>
      </c>
      <c r="D28" s="3" t="s">
        <v>41</v>
      </c>
      <c r="E28" s="3" t="s">
        <v>46</v>
      </c>
      <c r="F28" s="7"/>
    </row>
    <row r="29" customFormat="false" ht="15" hidden="false" customHeight="false" outlineLevel="0" collapsed="false">
      <c r="A29" s="3" t="n">
        <v>2021</v>
      </c>
      <c r="B29" s="3" t="s">
        <v>32</v>
      </c>
      <c r="C29" s="3" t="s">
        <v>33</v>
      </c>
      <c r="D29" s="3" t="s">
        <v>41</v>
      </c>
      <c r="E29" s="3" t="s">
        <v>47</v>
      </c>
      <c r="F29" s="7" t="n">
        <v>0</v>
      </c>
    </row>
    <row r="30" customFormat="false" ht="15" hidden="false" customHeight="false" outlineLevel="0" collapsed="false">
      <c r="A30" s="3" t="n">
        <v>2021</v>
      </c>
      <c r="B30" s="3" t="s">
        <v>32</v>
      </c>
      <c r="C30" s="3" t="s">
        <v>48</v>
      </c>
      <c r="D30" s="3"/>
      <c r="E30" s="3" t="s">
        <v>49</v>
      </c>
      <c r="F30" s="7" t="n">
        <v>-167000</v>
      </c>
    </row>
    <row r="31" customFormat="false" ht="15" hidden="false" customHeight="false" outlineLevel="0" collapsed="false">
      <c r="A31" s="3" t="n">
        <v>2021</v>
      </c>
      <c r="B31" s="3" t="s">
        <v>50</v>
      </c>
      <c r="C31" s="3" t="s">
        <v>33</v>
      </c>
      <c r="D31" s="3" t="s">
        <v>41</v>
      </c>
      <c r="E31" s="3" t="s">
        <v>51</v>
      </c>
      <c r="F31" s="7" t="n">
        <v>16200000</v>
      </c>
    </row>
    <row r="32" customFormat="false" ht="15" hidden="false" customHeight="false" outlineLevel="0" collapsed="false">
      <c r="A32" s="3" t="n">
        <v>2021</v>
      </c>
      <c r="B32" s="3" t="s">
        <v>50</v>
      </c>
      <c r="C32" s="3" t="s">
        <v>33</v>
      </c>
      <c r="D32" s="3" t="s">
        <v>41</v>
      </c>
      <c r="E32" s="3" t="s">
        <v>52</v>
      </c>
      <c r="F32" s="7" t="n">
        <v>1750000</v>
      </c>
    </row>
    <row r="33" customFormat="false" ht="15" hidden="false" customHeight="false" outlineLevel="0" collapsed="false">
      <c r="A33" s="3" t="n">
        <v>2021</v>
      </c>
      <c r="B33" s="3" t="s">
        <v>50</v>
      </c>
      <c r="C33" s="3" t="s">
        <v>33</v>
      </c>
      <c r="D33" s="3" t="s">
        <v>41</v>
      </c>
      <c r="E33" s="3" t="s">
        <v>53</v>
      </c>
      <c r="F33" s="7" t="n">
        <v>4990000</v>
      </c>
    </row>
    <row r="34" customFormat="false" ht="15" hidden="false" customHeight="false" outlineLevel="0" collapsed="false">
      <c r="A34" s="3" t="n">
        <v>2021</v>
      </c>
      <c r="B34" s="3" t="s">
        <v>50</v>
      </c>
      <c r="C34" s="3" t="s">
        <v>33</v>
      </c>
      <c r="D34" s="3" t="s">
        <v>41</v>
      </c>
      <c r="E34" s="3" t="s">
        <v>54</v>
      </c>
      <c r="F34" s="7" t="n">
        <v>80000</v>
      </c>
    </row>
    <row r="35" customFormat="false" ht="15" hidden="false" customHeight="false" outlineLevel="0" collapsed="false">
      <c r="A35" s="3" t="n">
        <v>2021</v>
      </c>
      <c r="B35" s="3" t="s">
        <v>50</v>
      </c>
      <c r="C35" s="3" t="s">
        <v>48</v>
      </c>
      <c r="D35" s="3"/>
      <c r="E35" s="3" t="s">
        <v>55</v>
      </c>
      <c r="F35" s="7" t="n">
        <v>-500000</v>
      </c>
    </row>
    <row r="36" customFormat="false" ht="15" hidden="false" customHeight="false" outlineLevel="0" collapsed="false">
      <c r="A36" s="3" t="n">
        <v>2020</v>
      </c>
      <c r="B36" s="3" t="s">
        <v>32</v>
      </c>
      <c r="C36" s="3" t="s">
        <v>33</v>
      </c>
      <c r="D36" s="3" t="s">
        <v>34</v>
      </c>
      <c r="E36" s="3" t="s">
        <v>35</v>
      </c>
      <c r="F36" s="7" t="n">
        <v>39340</v>
      </c>
    </row>
    <row r="37" customFormat="false" ht="15" hidden="false" customHeight="false" outlineLevel="0" collapsed="false">
      <c r="A37" s="3" t="n">
        <v>2020</v>
      </c>
      <c r="B37" s="3" t="s">
        <v>32</v>
      </c>
      <c r="C37" s="3" t="s">
        <v>33</v>
      </c>
      <c r="D37" s="3" t="s">
        <v>34</v>
      </c>
      <c r="E37" s="3" t="s">
        <v>36</v>
      </c>
      <c r="F37" s="7" t="n">
        <v>4270</v>
      </c>
    </row>
    <row r="38" customFormat="false" ht="15" hidden="false" customHeight="false" outlineLevel="0" collapsed="false">
      <c r="A38" s="3" t="n">
        <v>2020</v>
      </c>
      <c r="B38" s="3" t="s">
        <v>32</v>
      </c>
      <c r="C38" s="3" t="s">
        <v>33</v>
      </c>
      <c r="D38" s="3" t="s">
        <v>34</v>
      </c>
      <c r="E38" s="3" t="s">
        <v>37</v>
      </c>
      <c r="F38" s="7" t="n">
        <v>3830</v>
      </c>
    </row>
    <row r="39" customFormat="false" ht="15" hidden="false" customHeight="false" outlineLevel="0" collapsed="false">
      <c r="A39" s="3" t="n">
        <v>2020</v>
      </c>
      <c r="B39" s="3" t="s">
        <v>32</v>
      </c>
      <c r="C39" s="3" t="s">
        <v>33</v>
      </c>
      <c r="D39" s="3" t="s">
        <v>38</v>
      </c>
      <c r="E39" s="3" t="s">
        <v>39</v>
      </c>
      <c r="F39" s="7" t="n">
        <v>0</v>
      </c>
    </row>
    <row r="40" customFormat="false" ht="15" hidden="false" customHeight="false" outlineLevel="0" collapsed="false">
      <c r="A40" s="3" t="n">
        <v>2020</v>
      </c>
      <c r="B40" s="3" t="s">
        <v>32</v>
      </c>
      <c r="C40" s="3" t="s">
        <v>33</v>
      </c>
      <c r="D40" s="3" t="s">
        <v>38</v>
      </c>
      <c r="E40" s="3" t="s">
        <v>40</v>
      </c>
      <c r="F40" s="7" t="n">
        <v>0</v>
      </c>
    </row>
    <row r="41" customFormat="false" ht="15" hidden="false" customHeight="false" outlineLevel="0" collapsed="false">
      <c r="A41" s="3" t="n">
        <v>2020</v>
      </c>
      <c r="B41" s="3" t="s">
        <v>32</v>
      </c>
      <c r="C41" s="3" t="s">
        <v>33</v>
      </c>
      <c r="D41" s="3" t="s">
        <v>41</v>
      </c>
      <c r="E41" s="3" t="s">
        <v>42</v>
      </c>
      <c r="F41" s="7" t="n">
        <v>153000</v>
      </c>
    </row>
    <row r="42" customFormat="false" ht="15" hidden="false" customHeight="false" outlineLevel="0" collapsed="false">
      <c r="A42" s="3" t="n">
        <v>2020</v>
      </c>
      <c r="B42" s="3" t="s">
        <v>32</v>
      </c>
      <c r="C42" s="3" t="s">
        <v>33</v>
      </c>
      <c r="D42" s="3" t="s">
        <v>41</v>
      </c>
      <c r="E42" s="3" t="s">
        <v>43</v>
      </c>
      <c r="F42" s="7" t="n">
        <v>134000</v>
      </c>
    </row>
    <row r="43" customFormat="false" ht="15" hidden="false" customHeight="false" outlineLevel="0" collapsed="false">
      <c r="A43" s="3" t="n">
        <v>2020</v>
      </c>
      <c r="B43" s="3" t="s">
        <v>32</v>
      </c>
      <c r="C43" s="3" t="s">
        <v>33</v>
      </c>
      <c r="D43" s="3" t="s">
        <v>41</v>
      </c>
      <c r="E43" s="3" t="s">
        <v>44</v>
      </c>
      <c r="F43" s="7" t="n">
        <v>0</v>
      </c>
    </row>
    <row r="44" customFormat="false" ht="15" hidden="false" customHeight="false" outlineLevel="0" collapsed="false">
      <c r="A44" s="3" t="n">
        <v>2020</v>
      </c>
      <c r="B44" s="3" t="s">
        <v>32</v>
      </c>
      <c r="C44" s="3" t="s">
        <v>33</v>
      </c>
      <c r="D44" s="3" t="s">
        <v>41</v>
      </c>
      <c r="E44" s="3" t="s">
        <v>45</v>
      </c>
      <c r="F44" s="7" t="n">
        <v>0</v>
      </c>
    </row>
    <row r="45" customFormat="false" ht="15" hidden="false" customHeight="false" outlineLevel="0" collapsed="false">
      <c r="A45" s="3" t="n">
        <v>2020</v>
      </c>
      <c r="B45" s="3" t="s">
        <v>32</v>
      </c>
      <c r="C45" s="3" t="s">
        <v>33</v>
      </c>
      <c r="D45" s="3" t="s">
        <v>41</v>
      </c>
      <c r="E45" s="3" t="s">
        <v>46</v>
      </c>
      <c r="F45" s="7"/>
    </row>
    <row r="46" customFormat="false" ht="15" hidden="false" customHeight="false" outlineLevel="0" collapsed="false">
      <c r="A46" s="3" t="n">
        <v>2020</v>
      </c>
      <c r="B46" s="3" t="s">
        <v>32</v>
      </c>
      <c r="C46" s="3" t="s">
        <v>33</v>
      </c>
      <c r="D46" s="3" t="s">
        <v>41</v>
      </c>
      <c r="E46" s="3" t="s">
        <v>47</v>
      </c>
      <c r="F46" s="7" t="n">
        <v>0</v>
      </c>
    </row>
    <row r="47" customFormat="false" ht="15" hidden="false" customHeight="false" outlineLevel="0" collapsed="false">
      <c r="A47" s="3" t="n">
        <v>2020</v>
      </c>
      <c r="B47" s="3" t="s">
        <v>32</v>
      </c>
      <c r="C47" s="3" t="s">
        <v>48</v>
      </c>
      <c r="D47" s="3"/>
      <c r="E47" s="3" t="s">
        <v>49</v>
      </c>
      <c r="F47" s="7" t="n">
        <v>-70000</v>
      </c>
    </row>
    <row r="48" customFormat="false" ht="15" hidden="false" customHeight="false" outlineLevel="0" collapsed="false">
      <c r="A48" s="3" t="n">
        <v>2020</v>
      </c>
      <c r="B48" s="3" t="s">
        <v>50</v>
      </c>
      <c r="C48" s="3" t="s">
        <v>33</v>
      </c>
      <c r="D48" s="3" t="s">
        <v>41</v>
      </c>
      <c r="E48" s="3" t="s">
        <v>51</v>
      </c>
      <c r="F48" s="7" t="n">
        <v>16100000</v>
      </c>
    </row>
    <row r="49" customFormat="false" ht="15" hidden="false" customHeight="false" outlineLevel="0" collapsed="false">
      <c r="A49" s="3" t="n">
        <v>2020</v>
      </c>
      <c r="B49" s="3" t="s">
        <v>50</v>
      </c>
      <c r="C49" s="3" t="s">
        <v>33</v>
      </c>
      <c r="D49" s="3" t="s">
        <v>41</v>
      </c>
      <c r="E49" s="3" t="s">
        <v>52</v>
      </c>
      <c r="F49" s="7" t="n">
        <v>1800000</v>
      </c>
    </row>
    <row r="50" customFormat="false" ht="15" hidden="false" customHeight="false" outlineLevel="0" collapsed="false">
      <c r="A50" s="3" t="n">
        <v>2020</v>
      </c>
      <c r="B50" s="3" t="s">
        <v>50</v>
      </c>
      <c r="C50" s="3" t="s">
        <v>33</v>
      </c>
      <c r="D50" s="3" t="s">
        <v>41</v>
      </c>
      <c r="E50" s="3" t="s">
        <v>53</v>
      </c>
      <c r="F50" s="7" t="n">
        <v>4300000</v>
      </c>
    </row>
    <row r="51" customFormat="false" ht="15" hidden="false" customHeight="false" outlineLevel="0" collapsed="false">
      <c r="A51" s="3" t="n">
        <v>2020</v>
      </c>
      <c r="B51" s="3" t="s">
        <v>50</v>
      </c>
      <c r="C51" s="3" t="s">
        <v>33</v>
      </c>
      <c r="D51" s="3" t="s">
        <v>41</v>
      </c>
      <c r="E51" s="3" t="s">
        <v>54</v>
      </c>
      <c r="F51" s="7" t="n">
        <v>60000</v>
      </c>
    </row>
    <row r="52" customFormat="false" ht="15" hidden="false" customHeight="false" outlineLevel="0" collapsed="false">
      <c r="A52" s="3" t="n">
        <v>2020</v>
      </c>
      <c r="B52" s="3" t="s">
        <v>50</v>
      </c>
      <c r="C52" s="3" t="s">
        <v>48</v>
      </c>
      <c r="D52" s="3"/>
      <c r="E52" s="3" t="s">
        <v>55</v>
      </c>
      <c r="F52" s="7" t="n">
        <v>0</v>
      </c>
    </row>
    <row r="53" customFormat="false" ht="15" hidden="false" customHeight="false" outlineLevel="0" collapsed="false">
      <c r="A53" s="3" t="n">
        <v>2019</v>
      </c>
      <c r="B53" s="3" t="s">
        <v>32</v>
      </c>
      <c r="C53" s="3" t="s">
        <v>33</v>
      </c>
      <c r="D53" s="3" t="s">
        <v>34</v>
      </c>
      <c r="E53" s="3" t="s">
        <v>35</v>
      </c>
      <c r="F53" s="7" t="n">
        <v>40910</v>
      </c>
    </row>
    <row r="54" customFormat="false" ht="15" hidden="false" customHeight="false" outlineLevel="0" collapsed="false">
      <c r="A54" s="3" t="n">
        <v>2019</v>
      </c>
      <c r="B54" s="3" t="s">
        <v>32</v>
      </c>
      <c r="C54" s="3" t="s">
        <v>33</v>
      </c>
      <c r="D54" s="3" t="s">
        <v>34</v>
      </c>
      <c r="E54" s="3" t="s">
        <v>36</v>
      </c>
      <c r="F54" s="7" t="n">
        <v>6950</v>
      </c>
    </row>
    <row r="55" customFormat="false" ht="15" hidden="false" customHeight="false" outlineLevel="0" collapsed="false">
      <c r="A55" s="3" t="n">
        <v>2019</v>
      </c>
      <c r="B55" s="3" t="s">
        <v>32</v>
      </c>
      <c r="C55" s="3" t="s">
        <v>33</v>
      </c>
      <c r="D55" s="3" t="s">
        <v>34</v>
      </c>
      <c r="E55" s="3" t="s">
        <v>37</v>
      </c>
      <c r="F55" s="7" t="n">
        <v>4870</v>
      </c>
    </row>
    <row r="56" customFormat="false" ht="15" hidden="false" customHeight="false" outlineLevel="0" collapsed="false">
      <c r="A56" s="3" t="n">
        <v>2019</v>
      </c>
      <c r="B56" s="3" t="s">
        <v>32</v>
      </c>
      <c r="C56" s="3" t="s">
        <v>33</v>
      </c>
      <c r="D56" s="3" t="s">
        <v>38</v>
      </c>
      <c r="E56" s="3" t="s">
        <v>39</v>
      </c>
      <c r="F56" s="7" t="n">
        <v>0</v>
      </c>
    </row>
    <row r="57" customFormat="false" ht="15" hidden="false" customHeight="false" outlineLevel="0" collapsed="false">
      <c r="A57" s="3" t="n">
        <v>2019</v>
      </c>
      <c r="B57" s="3" t="s">
        <v>32</v>
      </c>
      <c r="C57" s="3" t="s">
        <v>33</v>
      </c>
      <c r="D57" s="3" t="s">
        <v>38</v>
      </c>
      <c r="E57" s="3" t="s">
        <v>40</v>
      </c>
      <c r="F57" s="7" t="n">
        <v>0</v>
      </c>
    </row>
    <row r="58" customFormat="false" ht="15" hidden="false" customHeight="false" outlineLevel="0" collapsed="false">
      <c r="A58" s="3" t="n">
        <v>2019</v>
      </c>
      <c r="B58" s="3" t="s">
        <v>32</v>
      </c>
      <c r="C58" s="3" t="s">
        <v>33</v>
      </c>
      <c r="D58" s="3" t="s">
        <v>41</v>
      </c>
      <c r="E58" s="3" t="s">
        <v>42</v>
      </c>
      <c r="F58" s="7" t="n">
        <v>326000</v>
      </c>
    </row>
    <row r="59" customFormat="false" ht="15" hidden="false" customHeight="false" outlineLevel="0" collapsed="false">
      <c r="A59" s="3" t="n">
        <v>2019</v>
      </c>
      <c r="B59" s="3" t="s">
        <v>32</v>
      </c>
      <c r="C59" s="3" t="s">
        <v>33</v>
      </c>
      <c r="D59" s="3" t="s">
        <v>41</v>
      </c>
      <c r="E59" s="3" t="s">
        <v>43</v>
      </c>
      <c r="F59" s="7" t="n">
        <v>195000</v>
      </c>
    </row>
    <row r="60" customFormat="false" ht="15" hidden="false" customHeight="false" outlineLevel="0" collapsed="false">
      <c r="A60" s="3" t="n">
        <v>2019</v>
      </c>
      <c r="B60" s="3" t="s">
        <v>32</v>
      </c>
      <c r="C60" s="3" t="s">
        <v>33</v>
      </c>
      <c r="D60" s="3" t="s">
        <v>41</v>
      </c>
      <c r="E60" s="3" t="s">
        <v>44</v>
      </c>
      <c r="F60" s="7" t="n">
        <v>0</v>
      </c>
    </row>
    <row r="61" customFormat="false" ht="15" hidden="false" customHeight="false" outlineLevel="0" collapsed="false">
      <c r="A61" s="3" t="n">
        <v>2019</v>
      </c>
      <c r="B61" s="3" t="s">
        <v>32</v>
      </c>
      <c r="C61" s="3" t="s">
        <v>33</v>
      </c>
      <c r="D61" s="3" t="s">
        <v>41</v>
      </c>
      <c r="E61" s="3" t="s">
        <v>45</v>
      </c>
      <c r="F61" s="7" t="n">
        <v>0</v>
      </c>
    </row>
    <row r="62" customFormat="false" ht="15" hidden="false" customHeight="false" outlineLevel="0" collapsed="false">
      <c r="A62" s="3" t="n">
        <v>2019</v>
      </c>
      <c r="B62" s="3" t="s">
        <v>32</v>
      </c>
      <c r="C62" s="3" t="s">
        <v>33</v>
      </c>
      <c r="D62" s="3" t="s">
        <v>41</v>
      </c>
      <c r="E62" s="3" t="s">
        <v>46</v>
      </c>
      <c r="F62" s="7"/>
    </row>
    <row r="63" customFormat="false" ht="15" hidden="false" customHeight="false" outlineLevel="0" collapsed="false">
      <c r="A63" s="3" t="n">
        <v>2019</v>
      </c>
      <c r="B63" s="3" t="s">
        <v>32</v>
      </c>
      <c r="C63" s="3" t="s">
        <v>33</v>
      </c>
      <c r="D63" s="3" t="s">
        <v>41</v>
      </c>
      <c r="E63" s="3" t="s">
        <v>47</v>
      </c>
      <c r="F63" s="7" t="n">
        <v>0</v>
      </c>
    </row>
    <row r="64" customFormat="false" ht="15" hidden="false" customHeight="false" outlineLevel="0" collapsed="false">
      <c r="A64" s="3" t="n">
        <v>2019</v>
      </c>
      <c r="B64" s="3" t="s">
        <v>32</v>
      </c>
      <c r="C64" s="3" t="s">
        <v>48</v>
      </c>
      <c r="D64" s="3"/>
      <c r="E64" s="3" t="s">
        <v>49</v>
      </c>
      <c r="F64" s="7" t="n">
        <v>0</v>
      </c>
    </row>
    <row r="65" customFormat="false" ht="15" hidden="false" customHeight="false" outlineLevel="0" collapsed="false">
      <c r="A65" s="3" t="n">
        <v>2019</v>
      </c>
      <c r="B65" s="3" t="s">
        <v>50</v>
      </c>
      <c r="C65" s="3" t="s">
        <v>33</v>
      </c>
      <c r="D65" s="3" t="s">
        <v>41</v>
      </c>
      <c r="E65" s="3" t="s">
        <v>51</v>
      </c>
      <c r="F65" s="7" t="n">
        <v>18900000</v>
      </c>
    </row>
    <row r="66" customFormat="false" ht="15" hidden="false" customHeight="false" outlineLevel="0" collapsed="false">
      <c r="A66" s="3" t="n">
        <v>2019</v>
      </c>
      <c r="B66" s="3" t="s">
        <v>50</v>
      </c>
      <c r="C66" s="3" t="s">
        <v>33</v>
      </c>
      <c r="D66" s="3" t="s">
        <v>41</v>
      </c>
      <c r="E66" s="3" t="s">
        <v>52</v>
      </c>
      <c r="F66" s="7" t="n">
        <v>1400000</v>
      </c>
    </row>
    <row r="67" customFormat="false" ht="15" hidden="false" customHeight="false" outlineLevel="0" collapsed="false">
      <c r="A67" s="3" t="n">
        <v>2019</v>
      </c>
      <c r="B67" s="3" t="s">
        <v>50</v>
      </c>
      <c r="C67" s="3" t="s">
        <v>33</v>
      </c>
      <c r="D67" s="3" t="s">
        <v>41</v>
      </c>
      <c r="E67" s="3" t="s">
        <v>53</v>
      </c>
      <c r="F67" s="7" t="n">
        <v>4100000</v>
      </c>
    </row>
    <row r="68" customFormat="false" ht="15" hidden="false" customHeight="false" outlineLevel="0" collapsed="false">
      <c r="A68" s="3" t="n">
        <v>2019</v>
      </c>
      <c r="B68" s="3" t="s">
        <v>50</v>
      </c>
      <c r="C68" s="3" t="s">
        <v>33</v>
      </c>
      <c r="D68" s="3" t="s">
        <v>41</v>
      </c>
      <c r="E68" s="3" t="s">
        <v>54</v>
      </c>
      <c r="F68" s="7" t="n">
        <v>60000</v>
      </c>
    </row>
    <row r="69" customFormat="false" ht="15" hidden="false" customHeight="false" outlineLevel="0" collapsed="false">
      <c r="A69" s="3" t="n">
        <v>2019</v>
      </c>
      <c r="B69" s="3" t="s">
        <v>50</v>
      </c>
      <c r="C69" s="3" t="s">
        <v>48</v>
      </c>
      <c r="D69" s="3"/>
      <c r="E69" s="3" t="s">
        <v>55</v>
      </c>
      <c r="F69" s="7" t="n">
        <v>0</v>
      </c>
    </row>
    <row r="70" customFormat="false" ht="15" hidden="false" customHeight="false" outlineLevel="0" collapsed="false">
      <c r="A70" s="3" t="n">
        <v>2018</v>
      </c>
      <c r="B70" s="3" t="s">
        <v>32</v>
      </c>
      <c r="C70" s="3" t="s">
        <v>33</v>
      </c>
      <c r="D70" s="3" t="s">
        <v>34</v>
      </c>
      <c r="E70" s="3" t="s">
        <v>35</v>
      </c>
      <c r="F70" s="7" t="n">
        <v>42840</v>
      </c>
    </row>
    <row r="71" customFormat="false" ht="15" hidden="false" customHeight="false" outlineLevel="0" collapsed="false">
      <c r="A71" s="3" t="n">
        <v>2018</v>
      </c>
      <c r="B71" s="3" t="s">
        <v>32</v>
      </c>
      <c r="C71" s="3" t="s">
        <v>33</v>
      </c>
      <c r="D71" s="3" t="s">
        <v>34</v>
      </c>
      <c r="E71" s="3" t="s">
        <v>36</v>
      </c>
      <c r="F71" s="7" t="n">
        <v>11110</v>
      </c>
    </row>
    <row r="72" customFormat="false" ht="15" hidden="false" customHeight="false" outlineLevel="0" collapsed="false">
      <c r="A72" s="3" t="n">
        <v>2018</v>
      </c>
      <c r="B72" s="3" t="s">
        <v>32</v>
      </c>
      <c r="C72" s="3" t="s">
        <v>33</v>
      </c>
      <c r="D72" s="3" t="s">
        <v>34</v>
      </c>
      <c r="E72" s="3" t="s">
        <v>37</v>
      </c>
      <c r="F72" s="7" t="n">
        <v>3490</v>
      </c>
    </row>
    <row r="73" customFormat="false" ht="15" hidden="false" customHeight="false" outlineLevel="0" collapsed="false">
      <c r="A73" s="3" t="n">
        <v>2018</v>
      </c>
      <c r="B73" s="3" t="s">
        <v>32</v>
      </c>
      <c r="C73" s="3" t="s">
        <v>33</v>
      </c>
      <c r="D73" s="3" t="s">
        <v>38</v>
      </c>
      <c r="E73" s="3" t="s">
        <v>39</v>
      </c>
      <c r="F73" s="7" t="n">
        <v>8730</v>
      </c>
    </row>
    <row r="74" customFormat="false" ht="15" hidden="false" customHeight="false" outlineLevel="0" collapsed="false">
      <c r="A74" s="3" t="n">
        <v>2018</v>
      </c>
      <c r="B74" s="3" t="s">
        <v>32</v>
      </c>
      <c r="C74" s="3" t="s">
        <v>33</v>
      </c>
      <c r="D74" s="3" t="s">
        <v>38</v>
      </c>
      <c r="E74" s="3" t="s">
        <v>40</v>
      </c>
      <c r="F74" s="7" t="n">
        <v>0</v>
      </c>
    </row>
    <row r="75" customFormat="false" ht="15" hidden="false" customHeight="false" outlineLevel="0" collapsed="false">
      <c r="A75" s="3" t="n">
        <v>2018</v>
      </c>
      <c r="B75" s="3" t="s">
        <v>32</v>
      </c>
      <c r="C75" s="3" t="s">
        <v>33</v>
      </c>
      <c r="D75" s="3" t="s">
        <v>41</v>
      </c>
      <c r="E75" s="3" t="s">
        <v>42</v>
      </c>
      <c r="F75" s="7" t="n">
        <v>337000</v>
      </c>
    </row>
    <row r="76" customFormat="false" ht="15" hidden="false" customHeight="false" outlineLevel="0" collapsed="false">
      <c r="A76" s="3" t="n">
        <v>2018</v>
      </c>
      <c r="B76" s="3" t="s">
        <v>32</v>
      </c>
      <c r="C76" s="3" t="s">
        <v>33</v>
      </c>
      <c r="D76" s="3" t="s">
        <v>41</v>
      </c>
      <c r="E76" s="3" t="s">
        <v>43</v>
      </c>
      <c r="F76" s="7" t="n">
        <v>183000</v>
      </c>
    </row>
    <row r="77" customFormat="false" ht="15" hidden="false" customHeight="false" outlineLevel="0" collapsed="false">
      <c r="A77" s="3" t="n">
        <v>2018</v>
      </c>
      <c r="B77" s="3" t="s">
        <v>32</v>
      </c>
      <c r="C77" s="3" t="s">
        <v>33</v>
      </c>
      <c r="D77" s="3" t="s">
        <v>41</v>
      </c>
      <c r="E77" s="3" t="s">
        <v>44</v>
      </c>
      <c r="F77" s="7" t="n">
        <v>0</v>
      </c>
    </row>
    <row r="78" customFormat="false" ht="15" hidden="false" customHeight="false" outlineLevel="0" collapsed="false">
      <c r="A78" s="3" t="n">
        <v>2018</v>
      </c>
      <c r="B78" s="3" t="s">
        <v>32</v>
      </c>
      <c r="C78" s="3" t="s">
        <v>33</v>
      </c>
      <c r="D78" s="3" t="s">
        <v>41</v>
      </c>
      <c r="E78" s="3" t="s">
        <v>45</v>
      </c>
      <c r="F78" s="7" t="n">
        <v>0</v>
      </c>
    </row>
    <row r="79" customFormat="false" ht="15" hidden="false" customHeight="false" outlineLevel="0" collapsed="false">
      <c r="A79" s="3" t="n">
        <v>2018</v>
      </c>
      <c r="B79" s="3" t="s">
        <v>32</v>
      </c>
      <c r="C79" s="3" t="s">
        <v>33</v>
      </c>
      <c r="D79" s="3" t="s">
        <v>41</v>
      </c>
      <c r="E79" s="3" t="s">
        <v>46</v>
      </c>
      <c r="F79" s="7"/>
    </row>
    <row r="80" customFormat="false" ht="15" hidden="false" customHeight="false" outlineLevel="0" collapsed="false">
      <c r="A80" s="3" t="n">
        <v>2018</v>
      </c>
      <c r="B80" s="3" t="s">
        <v>32</v>
      </c>
      <c r="C80" s="3" t="s">
        <v>33</v>
      </c>
      <c r="D80" s="3" t="s">
        <v>41</v>
      </c>
      <c r="E80" s="3" t="s">
        <v>47</v>
      </c>
      <c r="F80" s="7" t="n">
        <v>0</v>
      </c>
    </row>
    <row r="81" customFormat="false" ht="15" hidden="false" customHeight="false" outlineLevel="0" collapsed="false">
      <c r="A81" s="3" t="n">
        <v>2018</v>
      </c>
      <c r="B81" s="3" t="s">
        <v>32</v>
      </c>
      <c r="C81" s="3" t="s">
        <v>48</v>
      </c>
      <c r="D81" s="3"/>
      <c r="E81" s="3" t="s">
        <v>49</v>
      </c>
      <c r="F81" s="7" t="n">
        <v>0</v>
      </c>
    </row>
    <row r="82" customFormat="false" ht="15" hidden="false" customHeight="false" outlineLevel="0" collapsed="false">
      <c r="A82" s="3" t="n">
        <v>2018</v>
      </c>
      <c r="B82" s="3" t="s">
        <v>50</v>
      </c>
      <c r="C82" s="3" t="s">
        <v>33</v>
      </c>
      <c r="D82" s="3" t="s">
        <v>41</v>
      </c>
      <c r="E82" s="3" t="s">
        <v>51</v>
      </c>
      <c r="F82" s="7" t="n">
        <v>18500000</v>
      </c>
    </row>
    <row r="83" customFormat="false" ht="15" hidden="false" customHeight="false" outlineLevel="0" collapsed="false">
      <c r="A83" s="3" t="n">
        <v>2018</v>
      </c>
      <c r="B83" s="3" t="s">
        <v>50</v>
      </c>
      <c r="C83" s="3" t="s">
        <v>33</v>
      </c>
      <c r="D83" s="3" t="s">
        <v>41</v>
      </c>
      <c r="E83" s="3" t="s">
        <v>52</v>
      </c>
      <c r="F83" s="7" t="n">
        <v>1300000</v>
      </c>
    </row>
    <row r="84" customFormat="false" ht="15" hidden="false" customHeight="false" outlineLevel="0" collapsed="false">
      <c r="A84" s="3" t="n">
        <v>2018</v>
      </c>
      <c r="B84" s="3" t="s">
        <v>50</v>
      </c>
      <c r="C84" s="3" t="s">
        <v>33</v>
      </c>
      <c r="D84" s="3" t="s">
        <v>41</v>
      </c>
      <c r="E84" s="3" t="s">
        <v>53</v>
      </c>
      <c r="F84" s="7" t="n">
        <v>4700000</v>
      </c>
    </row>
    <row r="85" customFormat="false" ht="15" hidden="false" customHeight="false" outlineLevel="0" collapsed="false">
      <c r="A85" s="3" t="n">
        <v>2018</v>
      </c>
      <c r="B85" s="3" t="s">
        <v>50</v>
      </c>
      <c r="C85" s="3" t="s">
        <v>33</v>
      </c>
      <c r="D85" s="3" t="s">
        <v>41</v>
      </c>
      <c r="E85" s="3" t="s">
        <v>54</v>
      </c>
      <c r="F85" s="7" t="n">
        <v>50000</v>
      </c>
    </row>
    <row r="86" customFormat="false" ht="15" hidden="false" customHeight="false" outlineLevel="0" collapsed="false">
      <c r="A86" s="3" t="n">
        <v>2018</v>
      </c>
      <c r="B86" s="3" t="s">
        <v>50</v>
      </c>
      <c r="C86" s="3" t="s">
        <v>48</v>
      </c>
      <c r="D86" s="3"/>
      <c r="E86" s="3" t="s">
        <v>55</v>
      </c>
      <c r="F86" s="7" t="n">
        <v>0</v>
      </c>
    </row>
    <row r="87" customFormat="false" ht="15" hidden="false" customHeight="false" outlineLevel="0" collapsed="false">
      <c r="A87" s="3" t="n">
        <v>2017</v>
      </c>
      <c r="B87" s="3" t="s">
        <v>32</v>
      </c>
      <c r="C87" s="3" t="s">
        <v>33</v>
      </c>
      <c r="D87" s="3" t="s">
        <v>34</v>
      </c>
      <c r="E87" s="3" t="s">
        <v>35</v>
      </c>
      <c r="F87" s="7" t="n">
        <v>36210</v>
      </c>
    </row>
    <row r="88" customFormat="false" ht="15" hidden="false" customHeight="false" outlineLevel="0" collapsed="false">
      <c r="A88" s="3" t="n">
        <v>2017</v>
      </c>
      <c r="B88" s="3" t="s">
        <v>32</v>
      </c>
      <c r="C88" s="3" t="s">
        <v>33</v>
      </c>
      <c r="D88" s="3" t="s">
        <v>34</v>
      </c>
      <c r="E88" s="3" t="s">
        <v>36</v>
      </c>
      <c r="F88" s="7" t="n">
        <v>8300</v>
      </c>
    </row>
    <row r="89" customFormat="false" ht="15" hidden="false" customHeight="false" outlineLevel="0" collapsed="false">
      <c r="A89" s="3" t="n">
        <v>2017</v>
      </c>
      <c r="B89" s="3" t="s">
        <v>32</v>
      </c>
      <c r="C89" s="3" t="s">
        <v>33</v>
      </c>
      <c r="D89" s="3" t="s">
        <v>34</v>
      </c>
      <c r="E89" s="3" t="s">
        <v>37</v>
      </c>
      <c r="F89" s="7" t="n">
        <v>2540</v>
      </c>
    </row>
    <row r="90" customFormat="false" ht="15" hidden="false" customHeight="false" outlineLevel="0" collapsed="false">
      <c r="A90" s="3" t="n">
        <v>2017</v>
      </c>
      <c r="B90" s="3" t="s">
        <v>32</v>
      </c>
      <c r="C90" s="3" t="s">
        <v>33</v>
      </c>
      <c r="D90" s="3" t="s">
        <v>38</v>
      </c>
      <c r="E90" s="3" t="s">
        <v>39</v>
      </c>
      <c r="F90" s="7" t="n">
        <v>36250</v>
      </c>
    </row>
    <row r="91" customFormat="false" ht="15" hidden="false" customHeight="false" outlineLevel="0" collapsed="false">
      <c r="A91" s="3" t="n">
        <v>2017</v>
      </c>
      <c r="B91" s="3" t="s">
        <v>32</v>
      </c>
      <c r="C91" s="3" t="s">
        <v>33</v>
      </c>
      <c r="D91" s="3" t="s">
        <v>38</v>
      </c>
      <c r="E91" s="3" t="s">
        <v>40</v>
      </c>
      <c r="F91" s="7"/>
    </row>
    <row r="92" customFormat="false" ht="15" hidden="false" customHeight="false" outlineLevel="0" collapsed="false">
      <c r="A92" s="3" t="n">
        <v>2017</v>
      </c>
      <c r="B92" s="3" t="s">
        <v>32</v>
      </c>
      <c r="C92" s="3" t="s">
        <v>33</v>
      </c>
      <c r="D92" s="3" t="s">
        <v>41</v>
      </c>
      <c r="E92" s="3" t="s">
        <v>42</v>
      </c>
      <c r="F92" s="7" t="n">
        <v>121000</v>
      </c>
    </row>
    <row r="93" customFormat="false" ht="15" hidden="false" customHeight="false" outlineLevel="0" collapsed="false">
      <c r="A93" s="3" t="n">
        <v>2017</v>
      </c>
      <c r="B93" s="3" t="s">
        <v>32</v>
      </c>
      <c r="C93" s="3" t="s">
        <v>33</v>
      </c>
      <c r="D93" s="3" t="s">
        <v>41</v>
      </c>
      <c r="E93" s="3" t="s">
        <v>43</v>
      </c>
      <c r="F93" s="7" t="n">
        <v>172000</v>
      </c>
    </row>
    <row r="94" customFormat="false" ht="15" hidden="false" customHeight="false" outlineLevel="0" collapsed="false">
      <c r="A94" s="3" t="n">
        <v>2017</v>
      </c>
      <c r="B94" s="3" t="s">
        <v>32</v>
      </c>
      <c r="C94" s="3" t="s">
        <v>33</v>
      </c>
      <c r="D94" s="3" t="s">
        <v>41</v>
      </c>
      <c r="E94" s="3" t="s">
        <v>44</v>
      </c>
      <c r="F94" s="7"/>
    </row>
    <row r="95" customFormat="false" ht="15" hidden="false" customHeight="false" outlineLevel="0" collapsed="false">
      <c r="A95" s="3" t="n">
        <v>2017</v>
      </c>
      <c r="B95" s="3" t="s">
        <v>32</v>
      </c>
      <c r="C95" s="3" t="s">
        <v>33</v>
      </c>
      <c r="D95" s="3" t="s">
        <v>41</v>
      </c>
      <c r="E95" s="3" t="s">
        <v>45</v>
      </c>
      <c r="F95" s="7"/>
    </row>
    <row r="96" customFormat="false" ht="15" hidden="false" customHeight="false" outlineLevel="0" collapsed="false">
      <c r="A96" s="3" t="n">
        <v>2017</v>
      </c>
      <c r="B96" s="3" t="s">
        <v>32</v>
      </c>
      <c r="C96" s="3" t="s">
        <v>33</v>
      </c>
      <c r="D96" s="3" t="s">
        <v>41</v>
      </c>
      <c r="E96" s="3" t="s">
        <v>46</v>
      </c>
      <c r="F96" s="7"/>
    </row>
    <row r="97" customFormat="false" ht="15" hidden="false" customHeight="false" outlineLevel="0" collapsed="false">
      <c r="A97" s="3" t="n">
        <v>2017</v>
      </c>
      <c r="B97" s="3" t="s">
        <v>32</v>
      </c>
      <c r="C97" s="3" t="s">
        <v>33</v>
      </c>
      <c r="D97" s="3" t="s">
        <v>41</v>
      </c>
      <c r="E97" s="3" t="s">
        <v>47</v>
      </c>
      <c r="F97" s="7"/>
    </row>
    <row r="98" customFormat="false" ht="15" hidden="false" customHeight="false" outlineLevel="0" collapsed="false">
      <c r="A98" s="3" t="n">
        <v>2017</v>
      </c>
      <c r="B98" s="3" t="s">
        <v>32</v>
      </c>
      <c r="C98" s="3" t="s">
        <v>48</v>
      </c>
      <c r="D98" s="3"/>
      <c r="E98" s="3" t="s">
        <v>49</v>
      </c>
      <c r="F98" s="7"/>
    </row>
    <row r="99" customFormat="false" ht="15" hidden="false" customHeight="false" outlineLevel="0" collapsed="false">
      <c r="A99" s="3" t="n">
        <v>2017</v>
      </c>
      <c r="B99" s="3" t="s">
        <v>50</v>
      </c>
      <c r="C99" s="3" t="s">
        <v>33</v>
      </c>
      <c r="D99" s="3" t="s">
        <v>41</v>
      </c>
      <c r="E99" s="3" t="s">
        <v>51</v>
      </c>
      <c r="F99" s="7" t="n">
        <v>21100000</v>
      </c>
    </row>
    <row r="100" customFormat="false" ht="15" hidden="false" customHeight="false" outlineLevel="0" collapsed="false">
      <c r="A100" s="3" t="n">
        <v>2017</v>
      </c>
      <c r="B100" s="3" t="s">
        <v>50</v>
      </c>
      <c r="C100" s="3" t="s">
        <v>33</v>
      </c>
      <c r="D100" s="3" t="s">
        <v>41</v>
      </c>
      <c r="E100" s="3" t="s">
        <v>52</v>
      </c>
      <c r="F100" s="7" t="n">
        <v>1200000</v>
      </c>
    </row>
    <row r="101" customFormat="false" ht="15" hidden="false" customHeight="false" outlineLevel="0" collapsed="false">
      <c r="A101" s="3" t="n">
        <v>2017</v>
      </c>
      <c r="B101" s="3" t="s">
        <v>50</v>
      </c>
      <c r="C101" s="3" t="s">
        <v>33</v>
      </c>
      <c r="D101" s="3" t="s">
        <v>41</v>
      </c>
      <c r="E101" s="3" t="s">
        <v>53</v>
      </c>
      <c r="F101" s="7" t="n">
        <v>4700000</v>
      </c>
    </row>
    <row r="102" customFormat="false" ht="15" hidden="false" customHeight="false" outlineLevel="0" collapsed="false">
      <c r="A102" s="3" t="n">
        <v>2017</v>
      </c>
      <c r="B102" s="3" t="s">
        <v>50</v>
      </c>
      <c r="C102" s="3" t="s">
        <v>33</v>
      </c>
      <c r="D102" s="3" t="s">
        <v>41</v>
      </c>
      <c r="E102" s="3" t="s">
        <v>54</v>
      </c>
      <c r="F102" s="7" t="n">
        <v>40000</v>
      </c>
    </row>
    <row r="103" customFormat="false" ht="15" hidden="false" customHeight="false" outlineLevel="0" collapsed="false">
      <c r="A103" s="3" t="n">
        <v>2017</v>
      </c>
      <c r="B103" s="3" t="s">
        <v>50</v>
      </c>
      <c r="C103" s="3" t="s">
        <v>48</v>
      </c>
      <c r="D103" s="3"/>
      <c r="E103" s="3" t="s">
        <v>55</v>
      </c>
      <c r="F103" s="7"/>
    </row>
    <row r="104" customFormat="false" ht="15" hidden="false" customHeight="false" outlineLevel="0" collapsed="false">
      <c r="A104" s="3" t="n">
        <v>2016</v>
      </c>
      <c r="B104" s="3" t="s">
        <v>32</v>
      </c>
      <c r="C104" s="3" t="s">
        <v>33</v>
      </c>
      <c r="D104" s="3" t="s">
        <v>34</v>
      </c>
      <c r="E104" s="3" t="s">
        <v>35</v>
      </c>
      <c r="F104" s="7" t="n">
        <v>27000</v>
      </c>
    </row>
    <row r="105" customFormat="false" ht="15" hidden="false" customHeight="false" outlineLevel="0" collapsed="false">
      <c r="A105" s="3" t="n">
        <v>2016</v>
      </c>
      <c r="B105" s="3" t="s">
        <v>32</v>
      </c>
      <c r="C105" s="3" t="s">
        <v>33</v>
      </c>
      <c r="D105" s="3" t="s">
        <v>34</v>
      </c>
      <c r="E105" s="3" t="s">
        <v>36</v>
      </c>
      <c r="F105" s="7" t="n">
        <v>7370</v>
      </c>
    </row>
    <row r="106" customFormat="false" ht="15" hidden="false" customHeight="false" outlineLevel="0" collapsed="false">
      <c r="A106" s="3" t="n">
        <v>2016</v>
      </c>
      <c r="B106" s="3" t="s">
        <v>32</v>
      </c>
      <c r="C106" s="3" t="s">
        <v>33</v>
      </c>
      <c r="D106" s="3" t="s">
        <v>34</v>
      </c>
      <c r="E106" s="3" t="s">
        <v>37</v>
      </c>
      <c r="F106" s="7"/>
    </row>
    <row r="107" customFormat="false" ht="15" hidden="false" customHeight="false" outlineLevel="0" collapsed="false">
      <c r="A107" s="3" t="n">
        <v>2016</v>
      </c>
      <c r="B107" s="3" t="s">
        <v>32</v>
      </c>
      <c r="C107" s="3" t="s">
        <v>33</v>
      </c>
      <c r="D107" s="3" t="s">
        <v>38</v>
      </c>
      <c r="E107" s="3" t="s">
        <v>39</v>
      </c>
      <c r="F107" s="7" t="n">
        <v>41000</v>
      </c>
    </row>
    <row r="108" customFormat="false" ht="15" hidden="false" customHeight="false" outlineLevel="0" collapsed="false">
      <c r="A108" s="3" t="n">
        <v>2016</v>
      </c>
      <c r="B108" s="3" t="s">
        <v>32</v>
      </c>
      <c r="C108" s="3" t="s">
        <v>33</v>
      </c>
      <c r="D108" s="3" t="s">
        <v>38</v>
      </c>
      <c r="E108" s="3" t="s">
        <v>40</v>
      </c>
      <c r="F108" s="7"/>
    </row>
    <row r="109" customFormat="false" ht="15" hidden="false" customHeight="false" outlineLevel="0" collapsed="false">
      <c r="A109" s="3" t="n">
        <v>2016</v>
      </c>
      <c r="B109" s="3" t="s">
        <v>32</v>
      </c>
      <c r="C109" s="3" t="s">
        <v>33</v>
      </c>
      <c r="D109" s="3" t="s">
        <v>41</v>
      </c>
      <c r="E109" s="3" t="s">
        <v>42</v>
      </c>
      <c r="F109" s="7" t="n">
        <v>118000</v>
      </c>
    </row>
    <row r="110" customFormat="false" ht="15" hidden="false" customHeight="false" outlineLevel="0" collapsed="false">
      <c r="A110" s="3" t="n">
        <v>2016</v>
      </c>
      <c r="B110" s="3" t="s">
        <v>32</v>
      </c>
      <c r="C110" s="3" t="s">
        <v>33</v>
      </c>
      <c r="D110" s="3" t="s">
        <v>41</v>
      </c>
      <c r="E110" s="3" t="s">
        <v>43</v>
      </c>
      <c r="F110" s="7" t="n">
        <v>186000</v>
      </c>
    </row>
    <row r="111" customFormat="false" ht="15" hidden="false" customHeight="false" outlineLevel="0" collapsed="false">
      <c r="A111" s="3" t="n">
        <v>2016</v>
      </c>
      <c r="B111" s="3" t="s">
        <v>32</v>
      </c>
      <c r="C111" s="3" t="s">
        <v>33</v>
      </c>
      <c r="D111" s="3" t="s">
        <v>41</v>
      </c>
      <c r="E111" s="3" t="s">
        <v>44</v>
      </c>
      <c r="F111" s="7"/>
    </row>
    <row r="112" customFormat="false" ht="15" hidden="false" customHeight="false" outlineLevel="0" collapsed="false">
      <c r="A112" s="3" t="n">
        <v>2016</v>
      </c>
      <c r="B112" s="3" t="s">
        <v>32</v>
      </c>
      <c r="C112" s="3" t="s">
        <v>33</v>
      </c>
      <c r="D112" s="3" t="s">
        <v>41</v>
      </c>
      <c r="E112" s="3" t="s">
        <v>45</v>
      </c>
      <c r="F112" s="7"/>
    </row>
    <row r="113" customFormat="false" ht="15" hidden="false" customHeight="false" outlineLevel="0" collapsed="false">
      <c r="A113" s="3" t="n">
        <v>2016</v>
      </c>
      <c r="B113" s="3" t="s">
        <v>32</v>
      </c>
      <c r="C113" s="3" t="s">
        <v>33</v>
      </c>
      <c r="D113" s="3" t="s">
        <v>41</v>
      </c>
      <c r="E113" s="3" t="s">
        <v>46</v>
      </c>
      <c r="F113" s="7"/>
    </row>
    <row r="114" customFormat="false" ht="15" hidden="false" customHeight="false" outlineLevel="0" collapsed="false">
      <c r="A114" s="3" t="n">
        <v>2016</v>
      </c>
      <c r="B114" s="3" t="s">
        <v>32</v>
      </c>
      <c r="C114" s="3" t="s">
        <v>33</v>
      </c>
      <c r="D114" s="3" t="s">
        <v>41</v>
      </c>
      <c r="E114" s="3" t="s">
        <v>47</v>
      </c>
      <c r="F114" s="7"/>
    </row>
    <row r="115" customFormat="false" ht="15" hidden="false" customHeight="false" outlineLevel="0" collapsed="false">
      <c r="A115" s="3" t="n">
        <v>2016</v>
      </c>
      <c r="B115" s="3" t="s">
        <v>32</v>
      </c>
      <c r="C115" s="3" t="s">
        <v>48</v>
      </c>
      <c r="D115" s="3"/>
      <c r="E115" s="3" t="s">
        <v>49</v>
      </c>
      <c r="F115" s="7"/>
    </row>
    <row r="116" customFormat="false" ht="15" hidden="false" customHeight="false" outlineLevel="0" collapsed="false">
      <c r="A116" s="3" t="n">
        <v>2016</v>
      </c>
      <c r="B116" s="3" t="s">
        <v>50</v>
      </c>
      <c r="C116" s="3" t="s">
        <v>33</v>
      </c>
      <c r="D116" s="3" t="s">
        <v>41</v>
      </c>
      <c r="E116" s="3" t="s">
        <v>51</v>
      </c>
      <c r="F116" s="7" t="n">
        <v>22800000</v>
      </c>
    </row>
    <row r="117" customFormat="false" ht="15" hidden="false" customHeight="false" outlineLevel="0" collapsed="false">
      <c r="A117" s="3" t="n">
        <v>2016</v>
      </c>
      <c r="B117" s="3" t="s">
        <v>50</v>
      </c>
      <c r="C117" s="3" t="s">
        <v>33</v>
      </c>
      <c r="D117" s="3" t="s">
        <v>41</v>
      </c>
      <c r="E117" s="3" t="s">
        <v>52</v>
      </c>
      <c r="F117" s="7" t="n">
        <v>1200000</v>
      </c>
    </row>
    <row r="118" customFormat="false" ht="15" hidden="false" customHeight="false" outlineLevel="0" collapsed="false">
      <c r="A118" s="3" t="n">
        <v>2016</v>
      </c>
      <c r="B118" s="3" t="s">
        <v>50</v>
      </c>
      <c r="C118" s="3" t="s">
        <v>33</v>
      </c>
      <c r="D118" s="3" t="s">
        <v>41</v>
      </c>
      <c r="E118" s="3" t="s">
        <v>53</v>
      </c>
      <c r="F118" s="7" t="n">
        <v>4900000</v>
      </c>
    </row>
    <row r="119" customFormat="false" ht="15" hidden="false" customHeight="false" outlineLevel="0" collapsed="false">
      <c r="A119" s="3" t="n">
        <v>2016</v>
      </c>
      <c r="B119" s="3" t="s">
        <v>50</v>
      </c>
      <c r="C119" s="3" t="s">
        <v>33</v>
      </c>
      <c r="D119" s="3" t="s">
        <v>41</v>
      </c>
      <c r="E119" s="3" t="s">
        <v>54</v>
      </c>
      <c r="F119" s="7" t="n">
        <v>300000</v>
      </c>
    </row>
    <row r="120" customFormat="false" ht="15" hidden="false" customHeight="false" outlineLevel="0" collapsed="false">
      <c r="A120" s="3" t="n">
        <v>2016</v>
      </c>
      <c r="B120" s="3" t="s">
        <v>50</v>
      </c>
      <c r="C120" s="3" t="s">
        <v>48</v>
      </c>
      <c r="D120" s="3"/>
      <c r="E120" s="3" t="s">
        <v>55</v>
      </c>
      <c r="F120" s="7"/>
    </row>
    <row r="121" customFormat="false" ht="15" hidden="false" customHeight="false" outlineLevel="0" collapsed="false">
      <c r="A121" s="3" t="n">
        <v>2015</v>
      </c>
      <c r="B121" s="3" t="s">
        <v>32</v>
      </c>
      <c r="C121" s="3" t="s">
        <v>33</v>
      </c>
      <c r="D121" s="3" t="s">
        <v>34</v>
      </c>
      <c r="E121" s="3" t="s">
        <v>35</v>
      </c>
      <c r="F121" s="7" t="n">
        <v>19360</v>
      </c>
    </row>
    <row r="122" customFormat="false" ht="15" hidden="false" customHeight="false" outlineLevel="0" collapsed="false">
      <c r="A122" s="3" t="n">
        <v>2015</v>
      </c>
      <c r="B122" s="3" t="s">
        <v>32</v>
      </c>
      <c r="C122" s="3" t="s">
        <v>33</v>
      </c>
      <c r="D122" s="3" t="s">
        <v>34</v>
      </c>
      <c r="E122" s="3" t="s">
        <v>36</v>
      </c>
      <c r="F122" s="7" t="n">
        <v>8740</v>
      </c>
    </row>
    <row r="123" customFormat="false" ht="15" hidden="false" customHeight="false" outlineLevel="0" collapsed="false">
      <c r="A123" s="3" t="n">
        <v>2015</v>
      </c>
      <c r="B123" s="3" t="s">
        <v>32</v>
      </c>
      <c r="C123" s="3" t="s">
        <v>33</v>
      </c>
      <c r="D123" s="3" t="s">
        <v>34</v>
      </c>
      <c r="E123" s="3" t="s">
        <v>37</v>
      </c>
      <c r="F123" s="7"/>
    </row>
    <row r="124" customFormat="false" ht="15" hidden="false" customHeight="false" outlineLevel="0" collapsed="false">
      <c r="A124" s="3" t="n">
        <v>2015</v>
      </c>
      <c r="B124" s="3" t="s">
        <v>32</v>
      </c>
      <c r="C124" s="3" t="s">
        <v>33</v>
      </c>
      <c r="D124" s="3" t="s">
        <v>38</v>
      </c>
      <c r="E124" s="3" t="s">
        <v>39</v>
      </c>
      <c r="F124" s="7" t="n">
        <v>42460</v>
      </c>
    </row>
    <row r="125" customFormat="false" ht="15" hidden="false" customHeight="false" outlineLevel="0" collapsed="false">
      <c r="A125" s="3" t="n">
        <v>2015</v>
      </c>
      <c r="B125" s="3" t="s">
        <v>32</v>
      </c>
      <c r="C125" s="3" t="s">
        <v>33</v>
      </c>
      <c r="D125" s="3" t="s">
        <v>38</v>
      </c>
      <c r="E125" s="3" t="s">
        <v>40</v>
      </c>
      <c r="F125" s="7"/>
    </row>
    <row r="126" customFormat="false" ht="15" hidden="false" customHeight="false" outlineLevel="0" collapsed="false">
      <c r="A126" s="3" t="n">
        <v>2015</v>
      </c>
      <c r="B126" s="3" t="s">
        <v>32</v>
      </c>
      <c r="C126" s="3" t="s">
        <v>33</v>
      </c>
      <c r="D126" s="3" t="s">
        <v>41</v>
      </c>
      <c r="E126" s="3" t="s">
        <v>42</v>
      </c>
      <c r="F126" s="7" t="n">
        <v>139940</v>
      </c>
    </row>
    <row r="127" customFormat="false" ht="15" hidden="false" customHeight="false" outlineLevel="0" collapsed="false">
      <c r="A127" s="3" t="n">
        <v>2015</v>
      </c>
      <c r="B127" s="3" t="s">
        <v>32</v>
      </c>
      <c r="C127" s="3" t="s">
        <v>33</v>
      </c>
      <c r="D127" s="3" t="s">
        <v>41</v>
      </c>
      <c r="E127" s="3" t="s">
        <v>43</v>
      </c>
      <c r="F127" s="7" t="n">
        <v>172970</v>
      </c>
    </row>
    <row r="128" customFormat="false" ht="15" hidden="false" customHeight="false" outlineLevel="0" collapsed="false">
      <c r="A128" s="3" t="n">
        <v>2015</v>
      </c>
      <c r="B128" s="3" t="s">
        <v>32</v>
      </c>
      <c r="C128" s="3" t="s">
        <v>33</v>
      </c>
      <c r="D128" s="3" t="s">
        <v>41</v>
      </c>
      <c r="E128" s="3" t="s">
        <v>44</v>
      </c>
      <c r="F128" s="7"/>
    </row>
    <row r="129" customFormat="false" ht="15" hidden="false" customHeight="false" outlineLevel="0" collapsed="false">
      <c r="A129" s="3" t="n">
        <v>2015</v>
      </c>
      <c r="B129" s="3" t="s">
        <v>32</v>
      </c>
      <c r="C129" s="3" t="s">
        <v>33</v>
      </c>
      <c r="D129" s="3" t="s">
        <v>41</v>
      </c>
      <c r="E129" s="3" t="s">
        <v>45</v>
      </c>
      <c r="F129" s="7"/>
    </row>
    <row r="130" customFormat="false" ht="15" hidden="false" customHeight="false" outlineLevel="0" collapsed="false">
      <c r="A130" s="3" t="n">
        <v>2015</v>
      </c>
      <c r="B130" s="3" t="s">
        <v>32</v>
      </c>
      <c r="C130" s="3" t="s">
        <v>33</v>
      </c>
      <c r="D130" s="3" t="s">
        <v>41</v>
      </c>
      <c r="E130" s="3" t="s">
        <v>46</v>
      </c>
      <c r="F130" s="7"/>
    </row>
    <row r="131" customFormat="false" ht="15" hidden="false" customHeight="false" outlineLevel="0" collapsed="false">
      <c r="A131" s="3" t="n">
        <v>2015</v>
      </c>
      <c r="B131" s="3" t="s">
        <v>32</v>
      </c>
      <c r="C131" s="3" t="s">
        <v>33</v>
      </c>
      <c r="D131" s="3" t="s">
        <v>41</v>
      </c>
      <c r="E131" s="3" t="s">
        <v>47</v>
      </c>
      <c r="F131" s="7"/>
    </row>
    <row r="132" customFormat="false" ht="15" hidden="false" customHeight="false" outlineLevel="0" collapsed="false">
      <c r="A132" s="3" t="n">
        <v>2015</v>
      </c>
      <c r="B132" s="3" t="s">
        <v>32</v>
      </c>
      <c r="C132" s="3" t="s">
        <v>48</v>
      </c>
      <c r="D132" s="3"/>
      <c r="E132" s="3" t="s">
        <v>49</v>
      </c>
      <c r="F132" s="7"/>
    </row>
    <row r="133" customFormat="false" ht="15" hidden="false" customHeight="false" outlineLevel="0" collapsed="false">
      <c r="A133" s="3" t="n">
        <v>2015</v>
      </c>
      <c r="B133" s="3" t="s">
        <v>50</v>
      </c>
      <c r="C133" s="3" t="s">
        <v>33</v>
      </c>
      <c r="D133" s="3" t="s">
        <v>41</v>
      </c>
      <c r="E133" s="3" t="s">
        <v>51</v>
      </c>
      <c r="F133" s="7" t="n">
        <v>29600000</v>
      </c>
    </row>
    <row r="134" customFormat="false" ht="15" hidden="false" customHeight="false" outlineLevel="0" collapsed="false">
      <c r="A134" s="3" t="n">
        <v>2015</v>
      </c>
      <c r="B134" s="3" t="s">
        <v>50</v>
      </c>
      <c r="C134" s="3" t="s">
        <v>33</v>
      </c>
      <c r="D134" s="3" t="s">
        <v>41</v>
      </c>
      <c r="E134" s="3" t="s">
        <v>52</v>
      </c>
      <c r="F134" s="7" t="n">
        <v>1300000</v>
      </c>
    </row>
    <row r="135" customFormat="false" ht="15" hidden="false" customHeight="false" outlineLevel="0" collapsed="false">
      <c r="A135" s="3" t="n">
        <v>2015</v>
      </c>
      <c r="B135" s="3" t="s">
        <v>50</v>
      </c>
      <c r="C135" s="3" t="s">
        <v>33</v>
      </c>
      <c r="D135" s="3" t="s">
        <v>41</v>
      </c>
      <c r="E135" s="3" t="s">
        <v>53</v>
      </c>
      <c r="F135" s="7" t="n">
        <v>6600000</v>
      </c>
    </row>
    <row r="136" customFormat="false" ht="15" hidden="false" customHeight="false" outlineLevel="0" collapsed="false">
      <c r="A136" s="3" t="n">
        <v>2015</v>
      </c>
      <c r="B136" s="3" t="s">
        <v>50</v>
      </c>
      <c r="C136" s="3" t="s">
        <v>33</v>
      </c>
      <c r="D136" s="3" t="s">
        <v>41</v>
      </c>
      <c r="E136" s="3" t="s">
        <v>54</v>
      </c>
      <c r="F136" s="7" t="n">
        <v>500000</v>
      </c>
    </row>
    <row r="137" customFormat="false" ht="15" hidden="false" customHeight="false" outlineLevel="0" collapsed="false">
      <c r="A137" s="3" t="n">
        <v>2015</v>
      </c>
      <c r="B137" s="3" t="s">
        <v>50</v>
      </c>
      <c r="C137" s="3" t="s">
        <v>48</v>
      </c>
      <c r="D137" s="3"/>
      <c r="E137" s="3" t="s">
        <v>55</v>
      </c>
      <c r="F137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6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6" min="5" style="0" width="20"/>
    <col collapsed="false" customWidth="true" hidden="false" outlineLevel="0" max="7" min="7" style="0" width="16"/>
  </cols>
  <sheetData>
    <row r="1" customFormat="false" ht="25.35" hidden="false" customHeight="false" outlineLevel="0" collapsed="false">
      <c r="A1" s="6" t="s">
        <v>26</v>
      </c>
      <c r="B1" s="6" t="s">
        <v>56</v>
      </c>
      <c r="C1" s="6" t="s">
        <v>57</v>
      </c>
      <c r="D1" s="6" t="s">
        <v>58</v>
      </c>
      <c r="E1" s="6" t="s">
        <v>59</v>
      </c>
      <c r="F1" s="6" t="s">
        <v>60</v>
      </c>
      <c r="G1" s="6" t="s">
        <v>61</v>
      </c>
    </row>
    <row r="2" customFormat="false" ht="15" hidden="false" customHeight="false" outlineLevel="0" collapsed="false">
      <c r="A2" s="3" t="n">
        <v>2015</v>
      </c>
      <c r="B2" s="7" t="n">
        <f aca="false">SUMIFS(Raw_GHG_Emissions!$F$2:$F$137,Raw_GHG_Emissions!$A$2:$A$137,A2,Raw_GHG_Emissions!$D$2:$D$137,"Scope 1",Raw_GHG_Emissions!$C$2:$C$137,"Gross emissions")</f>
        <v>28100</v>
      </c>
      <c r="C2" s="7" t="n">
        <f aca="false">SUMIFS(Raw_GHG_Emissions!$F$2:$F$137,Raw_GHG_Emissions!$A$2:$A$137,A2,Raw_GHG_Emissions!$D$2:$D$137,"Scope 2 (market-based)",Raw_GHG_Emissions!$C$2:$C$137,"Gross emissions")</f>
        <v>42460</v>
      </c>
      <c r="D2" s="7" t="n">
        <f aca="false">SUMIFS(Raw_GHG_Emissions!$F$2:$F$137,Raw_GHG_Emissions!$A$2:$A$137,A2,Raw_GHG_Emissions!$D$2:$D$137,"Scope 3",Raw_GHG_Emissions!$C$2:$C$137,"Gross emissions")</f>
        <v>38312910</v>
      </c>
      <c r="E2" s="8" t="n">
        <f aca="false">SUM(B2:D2)</f>
        <v>38383470</v>
      </c>
      <c r="F2" s="7" t="n">
        <f aca="false">SUMIFS(Raw_GHG_Emissions!$F$2:$F$137,Raw_GHG_Emissions!$A$2:$A$137,A2,Raw_GHG_Emissions!$C$2:$C$137,"Carbon removals")</f>
        <v>0</v>
      </c>
      <c r="G2" s="8" t="n">
        <f aca="false">E2+F2</f>
        <v>38383470</v>
      </c>
    </row>
    <row r="3" customFormat="false" ht="15" hidden="false" customHeight="false" outlineLevel="0" collapsed="false">
      <c r="A3" s="3" t="n">
        <v>2016</v>
      </c>
      <c r="B3" s="7" t="n">
        <f aca="false">SUMIFS(Raw_GHG_Emissions!$F$2:$F$137,Raw_GHG_Emissions!$A$2:$A$137,A3,Raw_GHG_Emissions!$D$2:$D$137,"Scope 1",Raw_GHG_Emissions!$C$2:$C$137,"Gross emissions")</f>
        <v>34370</v>
      </c>
      <c r="C3" s="7" t="n">
        <f aca="false">SUMIFS(Raw_GHG_Emissions!$F$2:$F$137,Raw_GHG_Emissions!$A$2:$A$137,A3,Raw_GHG_Emissions!$D$2:$D$137,"Scope 2 (market-based)",Raw_GHG_Emissions!$C$2:$C$137,"Gross emissions")</f>
        <v>41000</v>
      </c>
      <c r="D3" s="7" t="n">
        <f aca="false">SUMIFS(Raw_GHG_Emissions!$F$2:$F$137,Raw_GHG_Emissions!$A$2:$A$137,A3,Raw_GHG_Emissions!$D$2:$D$137,"Scope 3",Raw_GHG_Emissions!$C$2:$C$137,"Gross emissions")</f>
        <v>29504000</v>
      </c>
      <c r="E3" s="8" t="n">
        <f aca="false">SUM(B3:D3)</f>
        <v>29579370</v>
      </c>
      <c r="F3" s="7" t="n">
        <f aca="false">SUMIFS(Raw_GHG_Emissions!$F$2:$F$137,Raw_GHG_Emissions!$A$2:$A$137,A3,Raw_GHG_Emissions!$C$2:$C$137,"Carbon removals")</f>
        <v>0</v>
      </c>
      <c r="G3" s="8" t="n">
        <f aca="false">E3+F3</f>
        <v>29579370</v>
      </c>
    </row>
    <row r="4" customFormat="false" ht="15" hidden="false" customHeight="false" outlineLevel="0" collapsed="false">
      <c r="A4" s="3" t="n">
        <v>2017</v>
      </c>
      <c r="B4" s="7" t="n">
        <f aca="false">SUMIFS(Raw_GHG_Emissions!$F$2:$F$137,Raw_GHG_Emissions!$A$2:$A$137,A4,Raw_GHG_Emissions!$D$2:$D$137,"Scope 1",Raw_GHG_Emissions!$C$2:$C$137,"Gross emissions")</f>
        <v>47050</v>
      </c>
      <c r="C4" s="7" t="n">
        <f aca="false">SUMIFS(Raw_GHG_Emissions!$F$2:$F$137,Raw_GHG_Emissions!$A$2:$A$137,A4,Raw_GHG_Emissions!$D$2:$D$137,"Scope 2 (market-based)",Raw_GHG_Emissions!$C$2:$C$137,"Gross emissions")</f>
        <v>36250</v>
      </c>
      <c r="D4" s="7" t="n">
        <f aca="false">SUMIFS(Raw_GHG_Emissions!$F$2:$F$137,Raw_GHG_Emissions!$A$2:$A$137,A4,Raw_GHG_Emissions!$D$2:$D$137,"Scope 3",Raw_GHG_Emissions!$C$2:$C$137,"Gross emissions")</f>
        <v>27333000</v>
      </c>
      <c r="E4" s="8" t="n">
        <f aca="false">SUM(B4:D4)</f>
        <v>27416300</v>
      </c>
      <c r="F4" s="7" t="n">
        <f aca="false">SUMIFS(Raw_GHG_Emissions!$F$2:$F$137,Raw_GHG_Emissions!$A$2:$A$137,A4,Raw_GHG_Emissions!$C$2:$C$137,"Carbon removals")</f>
        <v>0</v>
      </c>
      <c r="G4" s="8" t="n">
        <f aca="false">E4+F4</f>
        <v>27416300</v>
      </c>
    </row>
    <row r="5" customFormat="false" ht="15" hidden="false" customHeight="false" outlineLevel="0" collapsed="false">
      <c r="A5" s="3" t="n">
        <v>2018</v>
      </c>
      <c r="B5" s="7" t="n">
        <f aca="false">SUMIFS(Raw_GHG_Emissions!$F$2:$F$137,Raw_GHG_Emissions!$A$2:$A$137,A5,Raw_GHG_Emissions!$D$2:$D$137,"Scope 1",Raw_GHG_Emissions!$C$2:$C$137,"Gross emissions")</f>
        <v>57440</v>
      </c>
      <c r="C5" s="7" t="n">
        <f aca="false">SUMIFS(Raw_GHG_Emissions!$F$2:$F$137,Raw_GHG_Emissions!$A$2:$A$137,A5,Raw_GHG_Emissions!$D$2:$D$137,"Scope 2 (market-based)",Raw_GHG_Emissions!$C$2:$C$137,"Gross emissions")</f>
        <v>8730</v>
      </c>
      <c r="D5" s="7" t="n">
        <f aca="false">SUMIFS(Raw_GHG_Emissions!$F$2:$F$137,Raw_GHG_Emissions!$A$2:$A$137,A5,Raw_GHG_Emissions!$D$2:$D$137,"Scope 3",Raw_GHG_Emissions!$C$2:$C$137,"Gross emissions")</f>
        <v>25070000</v>
      </c>
      <c r="E5" s="8" t="n">
        <f aca="false">SUM(B5:D5)</f>
        <v>25136170</v>
      </c>
      <c r="F5" s="7" t="n">
        <f aca="false">SUMIFS(Raw_GHG_Emissions!$F$2:$F$137,Raw_GHG_Emissions!$A$2:$A$137,A5,Raw_GHG_Emissions!$C$2:$C$137,"Carbon removals")</f>
        <v>0</v>
      </c>
      <c r="G5" s="8" t="n">
        <f aca="false">E5+F5</f>
        <v>25136170</v>
      </c>
    </row>
    <row r="6" customFormat="false" ht="15" hidden="false" customHeight="false" outlineLevel="0" collapsed="false">
      <c r="A6" s="3" t="n">
        <v>2019</v>
      </c>
      <c r="B6" s="7" t="n">
        <f aca="false">SUMIFS(Raw_GHG_Emissions!$F$2:$F$137,Raw_GHG_Emissions!$A$2:$A$137,A6,Raw_GHG_Emissions!$D$2:$D$137,"Scope 1",Raw_GHG_Emissions!$C$2:$C$137,"Gross emissions")</f>
        <v>52730</v>
      </c>
      <c r="C6" s="7" t="n">
        <f aca="false">SUMIFS(Raw_GHG_Emissions!$F$2:$F$137,Raw_GHG_Emissions!$A$2:$A$137,A6,Raw_GHG_Emissions!$D$2:$D$137,"Scope 2 (market-based)",Raw_GHG_Emissions!$C$2:$C$137,"Gross emissions")</f>
        <v>0</v>
      </c>
      <c r="D6" s="7" t="n">
        <f aca="false">SUMIFS(Raw_GHG_Emissions!$F$2:$F$137,Raw_GHG_Emissions!$A$2:$A$137,A6,Raw_GHG_Emissions!$D$2:$D$137,"Scope 3",Raw_GHG_Emissions!$C$2:$C$137,"Gross emissions")</f>
        <v>24981000</v>
      </c>
      <c r="E6" s="8" t="n">
        <f aca="false">SUM(B6:D6)</f>
        <v>25033730</v>
      </c>
      <c r="F6" s="7" t="n">
        <f aca="false">SUMIFS(Raw_GHG_Emissions!$F$2:$F$137,Raw_GHG_Emissions!$A$2:$A$137,A6,Raw_GHG_Emissions!$C$2:$C$137,"Carbon removals")</f>
        <v>0</v>
      </c>
      <c r="G6" s="8" t="n">
        <f aca="false">E6+F6</f>
        <v>25033730</v>
      </c>
    </row>
    <row r="7" customFormat="false" ht="15" hidden="false" customHeight="false" outlineLevel="0" collapsed="false">
      <c r="A7" s="3" t="n">
        <v>2020</v>
      </c>
      <c r="B7" s="7" t="n">
        <f aca="false">SUMIFS(Raw_GHG_Emissions!$F$2:$F$137,Raw_GHG_Emissions!$A$2:$A$137,A7,Raw_GHG_Emissions!$D$2:$D$137,"Scope 1",Raw_GHG_Emissions!$C$2:$C$137,"Gross emissions")</f>
        <v>47440</v>
      </c>
      <c r="C7" s="7" t="n">
        <f aca="false">SUMIFS(Raw_GHG_Emissions!$F$2:$F$137,Raw_GHG_Emissions!$A$2:$A$137,A7,Raw_GHG_Emissions!$D$2:$D$137,"Scope 2 (market-based)",Raw_GHG_Emissions!$C$2:$C$137,"Gross emissions")</f>
        <v>0</v>
      </c>
      <c r="D7" s="7" t="n">
        <f aca="false">SUMIFS(Raw_GHG_Emissions!$F$2:$F$137,Raw_GHG_Emissions!$A$2:$A$137,A7,Raw_GHG_Emissions!$D$2:$D$137,"Scope 3",Raw_GHG_Emissions!$C$2:$C$137,"Gross emissions")</f>
        <v>22547000</v>
      </c>
      <c r="E7" s="8" t="n">
        <f aca="false">SUM(B7:D7)</f>
        <v>22594440</v>
      </c>
      <c r="F7" s="7" t="n">
        <f aca="false">SUMIFS(Raw_GHG_Emissions!$F$2:$F$137,Raw_GHG_Emissions!$A$2:$A$137,A7,Raw_GHG_Emissions!$C$2:$C$137,"Carbon removals")</f>
        <v>-70000</v>
      </c>
      <c r="G7" s="8" t="n">
        <f aca="false">E7+F7</f>
        <v>22524440</v>
      </c>
    </row>
    <row r="8" customFormat="false" ht="15" hidden="false" customHeight="false" outlineLevel="0" collapsed="false">
      <c r="A8" s="3" t="n">
        <v>2021</v>
      </c>
      <c r="B8" s="7" t="n">
        <f aca="false">SUMIFS(Raw_GHG_Emissions!$F$2:$F$137,Raw_GHG_Emissions!$A$2:$A$137,A8,Raw_GHG_Emissions!$D$2:$D$137,"Scope 1",Raw_GHG_Emissions!$C$2:$C$137,"Gross emissions")</f>
        <v>55200</v>
      </c>
      <c r="C8" s="7" t="n">
        <f aca="false">SUMIFS(Raw_GHG_Emissions!$F$2:$F$137,Raw_GHG_Emissions!$A$2:$A$137,A8,Raw_GHG_Emissions!$D$2:$D$137,"Scope 2 (market-based)",Raw_GHG_Emissions!$C$2:$C$137,"Gross emissions")</f>
        <v>2780</v>
      </c>
      <c r="D8" s="7" t="n">
        <f aca="false">SUMIFS(Raw_GHG_Emissions!$F$2:$F$137,Raw_GHG_Emissions!$A$2:$A$137,A8,Raw_GHG_Emissions!$D$2:$D$137,"Scope 3",Raw_GHG_Emissions!$C$2:$C$137,"Gross emissions")</f>
        <v>23128420</v>
      </c>
      <c r="E8" s="8" t="n">
        <f aca="false">SUM(B8:D8)</f>
        <v>23186400</v>
      </c>
      <c r="F8" s="7" t="n">
        <f aca="false">SUMIFS(Raw_GHG_Emissions!$F$2:$F$137,Raw_GHG_Emissions!$A$2:$A$137,A8,Raw_GHG_Emissions!$C$2:$C$137,"Carbon removals")</f>
        <v>-667000</v>
      </c>
      <c r="G8" s="8" t="n">
        <f aca="false">E8+F8</f>
        <v>22519400</v>
      </c>
    </row>
    <row r="9" customFormat="false" ht="15" hidden="false" customHeight="false" outlineLevel="0" collapsed="false">
      <c r="A9" s="3" t="n">
        <v>2022</v>
      </c>
      <c r="B9" s="7" t="n">
        <f aca="false">SUMIFS(Raw_GHG_Emissions!$F$2:$F$137,Raw_GHG_Emissions!$A$2:$A$137,A9,Raw_GHG_Emissions!$D$2:$D$137,"Scope 1",Raw_GHG_Emissions!$C$2:$C$137,"Gross emissions")</f>
        <v>55200</v>
      </c>
      <c r="C9" s="7" t="n">
        <f aca="false">SUMIFS(Raw_GHG_Emissions!$F$2:$F$137,Raw_GHG_Emissions!$A$2:$A$137,A9,Raw_GHG_Emissions!$D$2:$D$137,"Scope 2 (market-based)",Raw_GHG_Emissions!$C$2:$C$137,"Gross emissions")</f>
        <v>3000</v>
      </c>
      <c r="D9" s="7" t="n">
        <f aca="false">SUMIFS(Raw_GHG_Emissions!$F$2:$F$137,Raw_GHG_Emissions!$A$2:$A$137,A9,Raw_GHG_Emissions!$D$2:$D$137,"Scope 3",Raw_GHG_Emissions!$C$2:$C$137,"Gross emissions")</f>
        <v>20545800</v>
      </c>
      <c r="E9" s="8" t="n">
        <f aca="false">SUM(B9:D9)</f>
        <v>20604000</v>
      </c>
      <c r="F9" s="7" t="n">
        <f aca="false">SUMIFS(Raw_GHG_Emissions!$F$2:$F$137,Raw_GHG_Emissions!$A$2:$A$137,A9,Raw_GHG_Emissions!$C$2:$C$137,"Carbon removals")</f>
        <v>-324100</v>
      </c>
      <c r="G9" s="8" t="n">
        <f aca="false">E9+F9</f>
        <v>20279900</v>
      </c>
    </row>
    <row r="11" customFormat="false" ht="15" hidden="false" customHeight="false" outlineLevel="0" collapsed="false">
      <c r="A11" s="9" t="s">
        <v>62</v>
      </c>
      <c r="B11" s="9"/>
      <c r="C11" s="9"/>
      <c r="D11" s="9"/>
      <c r="E11" s="9"/>
      <c r="F11" s="9"/>
      <c r="G11" s="9"/>
    </row>
  </sheetData>
  <mergeCells count="1">
    <mergeCell ref="A11:G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24"/>
  </cols>
  <sheetData>
    <row r="1" customFormat="false" ht="25.35" hidden="false" customHeight="false" outlineLevel="0" collapsed="false">
      <c r="A1" s="6" t="s">
        <v>63</v>
      </c>
      <c r="B1" s="6" t="s">
        <v>64</v>
      </c>
      <c r="C1" s="6" t="s">
        <v>65</v>
      </c>
      <c r="D1" s="6" t="s">
        <v>66</v>
      </c>
    </row>
    <row r="2" customFormat="false" ht="15" hidden="false" customHeight="false" outlineLevel="0" collapsed="false">
      <c r="A2" s="3" t="n">
        <v>2023</v>
      </c>
      <c r="B2" s="3" t="s">
        <v>67</v>
      </c>
      <c r="C2" s="3" t="n">
        <v>128</v>
      </c>
      <c r="D2" s="7" t="n">
        <v>56</v>
      </c>
    </row>
    <row r="3" customFormat="false" ht="15" hidden="false" customHeight="false" outlineLevel="0" collapsed="false">
      <c r="A3" s="3" t="n">
        <v>2022</v>
      </c>
      <c r="B3" s="3" t="s">
        <v>68</v>
      </c>
      <c r="C3" s="3" t="n">
        <v>128</v>
      </c>
      <c r="D3" s="7" t="n">
        <v>61</v>
      </c>
    </row>
    <row r="4" customFormat="false" ht="15" hidden="false" customHeight="false" outlineLevel="0" collapsed="false">
      <c r="A4" s="3" t="n">
        <v>2021</v>
      </c>
      <c r="B4" s="3" t="s">
        <v>69</v>
      </c>
      <c r="C4" s="3" t="n">
        <v>128</v>
      </c>
      <c r="D4" s="7" t="n">
        <v>64</v>
      </c>
    </row>
    <row r="5" customFormat="false" ht="15" hidden="false" customHeight="false" outlineLevel="0" collapsed="false">
      <c r="A5" s="3" t="n">
        <v>2020</v>
      </c>
      <c r="B5" s="3" t="s">
        <v>70</v>
      </c>
      <c r="C5" s="3" t="n">
        <v>64</v>
      </c>
      <c r="D5" s="7" t="n">
        <v>70</v>
      </c>
    </row>
    <row r="6" customFormat="false" ht="15" hidden="false" customHeight="false" outlineLevel="0" collapsed="false">
      <c r="A6" s="3" t="n">
        <v>2019</v>
      </c>
      <c r="B6" s="3" t="s">
        <v>71</v>
      </c>
      <c r="C6" s="3" t="n">
        <v>64</v>
      </c>
      <c r="D6" s="7" t="n">
        <v>72</v>
      </c>
    </row>
    <row r="7" customFormat="false" ht="15" hidden="false" customHeight="false" outlineLevel="0" collapsed="false">
      <c r="A7" s="3" t="n">
        <v>2018</v>
      </c>
      <c r="B7" s="3" t="s">
        <v>72</v>
      </c>
      <c r="C7" s="3" t="n">
        <v>64</v>
      </c>
      <c r="D7" s="7" t="n">
        <v>70</v>
      </c>
    </row>
    <row r="8" customFormat="false" ht="15" hidden="false" customHeight="false" outlineLevel="0" collapsed="false">
      <c r="A8" s="3" t="n">
        <v>2017</v>
      </c>
      <c r="B8" s="3" t="s">
        <v>73</v>
      </c>
      <c r="C8" s="3" t="n">
        <v>64</v>
      </c>
      <c r="D8" s="7" t="n">
        <v>79</v>
      </c>
    </row>
    <row r="9" customFormat="false" ht="15" hidden="false" customHeight="false" outlineLevel="0" collapsed="false">
      <c r="A9" s="3" t="n">
        <v>2017</v>
      </c>
      <c r="B9" s="3" t="s">
        <v>74</v>
      </c>
      <c r="C9" s="3" t="n">
        <v>64</v>
      </c>
      <c r="D9" s="7" t="n">
        <v>57</v>
      </c>
    </row>
    <row r="10" customFormat="false" ht="15" hidden="false" customHeight="false" outlineLevel="0" collapsed="false">
      <c r="A10" s="3" t="n">
        <v>2016</v>
      </c>
      <c r="B10" s="3" t="s">
        <v>75</v>
      </c>
      <c r="C10" s="3" t="n">
        <v>32</v>
      </c>
      <c r="D10" s="7" t="n">
        <v>56</v>
      </c>
    </row>
    <row r="11" customFormat="false" ht="15" hidden="false" customHeight="false" outlineLevel="0" collapsed="false">
      <c r="A11" s="3" t="n">
        <v>2015</v>
      </c>
      <c r="B11" s="3" t="s">
        <v>76</v>
      </c>
      <c r="C11" s="3" t="n">
        <v>32</v>
      </c>
      <c r="D11" s="7" t="n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5"/>
    <col collapsed="false" customWidth="true" hidden="false" outlineLevel="0" max="3" min="3" style="0" width="22"/>
    <col collapsed="false" customWidth="true" hidden="false" outlineLevel="0" max="4" min="4" style="0" width="13"/>
    <col collapsed="false" customWidth="true" hidden="false" outlineLevel="0" max="5" min="5" style="0" width="34"/>
  </cols>
  <sheetData>
    <row r="1" customFormat="false" ht="25.35" hidden="false" customHeight="false" outlineLevel="0" collapsed="false">
      <c r="A1" s="6" t="s">
        <v>26</v>
      </c>
      <c r="B1" s="6" t="s">
        <v>77</v>
      </c>
      <c r="C1" s="6" t="s">
        <v>78</v>
      </c>
      <c r="D1" s="6" t="s">
        <v>79</v>
      </c>
      <c r="E1" s="6" t="s">
        <v>80</v>
      </c>
    </row>
    <row r="2" customFormat="false" ht="15" hidden="false" customHeight="false" outlineLevel="0" collapsed="false">
      <c r="A2" s="3" t="n">
        <v>2015</v>
      </c>
      <c r="B2" s="7" t="n">
        <v>233715</v>
      </c>
      <c r="C2" s="7" t="n">
        <v>580</v>
      </c>
      <c r="D2" s="7" t="n">
        <v>110000</v>
      </c>
      <c r="E2" s="10" t="n">
        <f aca="false">IFERROR(INDEX(Yearly_Scope_Summary!$G$2:$G$9,MATCH(A2,Yearly_Scope_Summary!$A$2:$A$9,0))/B2,"n/a")</f>
        <v>164.23194916886</v>
      </c>
    </row>
    <row r="3" customFormat="false" ht="15" hidden="false" customHeight="false" outlineLevel="0" collapsed="false">
      <c r="A3" s="3" t="n">
        <v>2016</v>
      </c>
      <c r="B3" s="7" t="n">
        <v>215639</v>
      </c>
      <c r="C3" s="7" t="n">
        <v>600</v>
      </c>
      <c r="D3" s="7" t="n">
        <v>116000</v>
      </c>
      <c r="E3" s="10" t="n">
        <f aca="false">IFERROR(INDEX(Yearly_Scope_Summary!$G$2:$G$9,MATCH(A3,Yearly_Scope_Summary!$A$2:$A$9,0))/B3,"n/a")</f>
        <v>137.170780795682</v>
      </c>
    </row>
    <row r="4" customFormat="false" ht="15" hidden="false" customHeight="false" outlineLevel="0" collapsed="false">
      <c r="A4" s="3" t="n">
        <v>2017</v>
      </c>
      <c r="B4" s="7" t="n">
        <v>229234</v>
      </c>
      <c r="C4" s="7" t="n">
        <v>740</v>
      </c>
      <c r="D4" s="7" t="n">
        <v>123000</v>
      </c>
      <c r="E4" s="10" t="n">
        <f aca="false">IFERROR(INDEX(Yearly_Scope_Summary!$G$2:$G$9,MATCH(A4,Yearly_Scope_Summary!$A$2:$A$9,0))/B4,"n/a")</f>
        <v>119.59962309256</v>
      </c>
    </row>
    <row r="5" customFormat="false" ht="15" hidden="false" customHeight="false" outlineLevel="0" collapsed="false">
      <c r="A5" s="3" t="n">
        <v>2018</v>
      </c>
      <c r="B5" s="7" t="n">
        <v>265595</v>
      </c>
      <c r="C5" s="7" t="n">
        <v>830</v>
      </c>
      <c r="D5" s="7" t="n">
        <v>132000</v>
      </c>
      <c r="E5" s="10" t="n">
        <f aca="false">IFERROR(INDEX(Yearly_Scope_Summary!$G$2:$G$9,MATCH(A5,Yearly_Scope_Summary!$A$2:$A$9,0))/B5,"n/a")</f>
        <v>94.6409759219865</v>
      </c>
    </row>
    <row r="6" customFormat="false" ht="15" hidden="false" customHeight="false" outlineLevel="0" collapsed="false">
      <c r="A6" s="3" t="n">
        <v>2019</v>
      </c>
      <c r="B6" s="7" t="n">
        <v>260174</v>
      </c>
      <c r="C6" s="7" t="n">
        <v>1090</v>
      </c>
      <c r="D6" s="7" t="n">
        <v>137000</v>
      </c>
      <c r="E6" s="10" t="n">
        <f aca="false">IFERROR(INDEX(Yearly_Scope_Summary!$G$2:$G$9,MATCH(A6,Yearly_Scope_Summary!$A$2:$A$9,0))/B6,"n/a")</f>
        <v>96.2191840844973</v>
      </c>
    </row>
    <row r="7" customFormat="false" ht="15" hidden="false" customHeight="false" outlineLevel="0" collapsed="false">
      <c r="A7" s="3" t="n">
        <v>2020</v>
      </c>
      <c r="B7" s="7" t="n">
        <v>274515</v>
      </c>
      <c r="C7" s="7" t="n">
        <v>1720</v>
      </c>
      <c r="D7" s="7" t="n">
        <v>147000</v>
      </c>
      <c r="E7" s="10" t="n">
        <f aca="false">IFERROR(INDEX(Yearly_Scope_Summary!$G$2:$G$9,MATCH(A7,Yearly_Scope_Summary!$A$2:$A$9,0))/B7,"n/a")</f>
        <v>82.0517640201811</v>
      </c>
    </row>
    <row r="8" customFormat="false" ht="15" hidden="false" customHeight="false" outlineLevel="0" collapsed="false">
      <c r="A8" s="3" t="n">
        <v>2021</v>
      </c>
      <c r="B8" s="7" t="n">
        <v>365817</v>
      </c>
      <c r="C8" s="7" t="n">
        <v>2450</v>
      </c>
      <c r="D8" s="7" t="n">
        <v>154000</v>
      </c>
      <c r="E8" s="10" t="n">
        <f aca="false">IFERROR(INDEX(Yearly_Scope_Summary!$G$2:$G$9,MATCH(A8,Yearly_Scope_Summary!$A$2:$A$9,0))/B8,"n/a")</f>
        <v>61.5591948979955</v>
      </c>
    </row>
    <row r="9" customFormat="false" ht="15" hidden="false" customHeight="false" outlineLevel="0" collapsed="false">
      <c r="A9" s="3" t="n">
        <v>2022</v>
      </c>
      <c r="B9" s="7" t="n">
        <v>394328</v>
      </c>
      <c r="C9" s="7" t="n">
        <v>2490</v>
      </c>
      <c r="D9" s="7" t="n">
        <v>164000</v>
      </c>
      <c r="E9" s="10" t="n">
        <f aca="false">IFERROR(INDEX(Yearly_Scope_Summary!$G$2:$G$9,MATCH(A9,Yearly_Scope_Summary!$A$2:$A$9,0))/B9,"n/a")</f>
        <v>51.429013410156</v>
      </c>
    </row>
    <row r="11" customFormat="false" ht="15" hidden="false" customHeight="false" outlineLevel="0" collapsed="false">
      <c r="A11" s="9" t="s">
        <v>81</v>
      </c>
      <c r="B11" s="9"/>
      <c r="C11" s="9"/>
      <c r="D11" s="9"/>
      <c r="E11" s="9"/>
    </row>
  </sheetData>
  <mergeCells count="1">
    <mergeCell ref="A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2026-07-15T01:32:20Z</dcterms:created>
  <dc:creator>openpyxl</dc:creator>
  <dc:description/>
  <dc:language>en-US</dc:language>
  <cp:lastModifiedBy/>
  <dcterms:modified xsi:type="dcterms:W3CDTF">2026-07-15T01:32:20Z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